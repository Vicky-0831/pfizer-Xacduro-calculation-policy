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4060" firstSheet="1" activeTab="1"/>
  </bookViews>
  <sheets>
    <sheet name="城市惠民险20210205" sheetId="7" state="hidden" r:id="rId1"/>
    <sheet name="CSMI BASIC DATA-2026AP1" sheetId="28" r:id="rId2"/>
    <sheet name="LMA覆盖（2025.9）" sheetId="25" r:id="rId3"/>
  </sheets>
  <definedNames>
    <definedName name="_xlnm._FilterDatabase" localSheetId="0" hidden="1">城市惠民险20210205!$A$3:$Z$103</definedName>
    <definedName name="_xlnm._FilterDatabase" localSheetId="1" hidden="1">'CSMI BASIC DATA-2026AP1'!$A$2:$MH$178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tc={FEEA481E-CA20-486B-95AB-7DB143E713A1}</author>
    <author>tc={68C767C1-0228-46D2-A041-83EDD992CA19}</author>
    <author>tc={BBF8D0B7-DCAA-4057-BD46-4F8110207014}</author>
    <author>tc={040D79F8-3A7C-426C-91AB-7F9CC802E79E}</author>
    <author>tc={8ECA5B81-3B2A-44D7-8E96-09FD5E9053F9}</author>
    <author>tc={B6EA97B3-F6C0-478B-8CCD-F1A7C85FA4B8}</author>
    <author>tc={BCFECF11-A9DF-4F30-901A-122A24F3F867}</author>
    <author>tc={A1F7E481-4716-4CA4-93B2-C20E01E28C44}</author>
    <author>tc={0C6C0800-418A-42DB-8E2C-CB47407C7F03}</author>
    <author>tc={49345F6F-47BC-42C2-8C01-02715DCE429E}</author>
    <author>tc={F2FC6095-91FB-4489-8057-2EADCA12AB24}</author>
    <author>Dai, Jiayuan</author>
    <author>tc={FD361238-DEF6-416A-93DB-ED2642181077}</author>
    <author>tc={0E76119B-1A72-43A4-B73E-3C87F7A598CA}</author>
    <author>tc={A5494F06-1B1B-4B7F-9B0F-B0E430DA441C}</author>
    <author>tc={633961C3-AE40-4DD6-AC61-9F40855B5E6E}</author>
  </authors>
  <commentList>
    <comment ref="AE14"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本期白名单暂未更新（与去年的白名单一致）</t>
        </r>
      </text>
    </comment>
    <comment ref="O23" authorId="1">
      <text>
        <r>
          <rPr>
            <sz val="10"/>
            <rFont val="宋体"/>
            <charset val="134"/>
          </rPr>
          <t>[线程批注]
你的Excel版本可读取此线程批注; 但如果在更新版本的Excel中打开文件，则对批注所作的任何改动都将被删除。了解详细信息: https://go.microsoft.com/fwlink/?linkid=870924
注释:
    2025年按年龄梯度设置保费</t>
        </r>
      </text>
    </comment>
    <comment ref="G24" authorId="2">
      <text>
        <r>
          <rPr>
            <sz val="10"/>
            <rFont val="宋体"/>
            <charset val="134"/>
          </rPr>
          <t>[线程批注]
你的Excel版本可读取此线程批注; 但如果在更新版本的Excel中打开文件，则对批注所作的任何改动都将被删除。了解详细信息: https://go.microsoft.com/fwlink/?linkid=870924
注释:
    Delay，自治区整体有个项目设计中</t>
        </r>
      </text>
    </comment>
    <comment ref="G25" authorId="3">
      <text>
        <r>
          <rPr>
            <sz val="10"/>
            <rFont val="宋体"/>
            <charset val="134"/>
          </rPr>
          <t>[线程批注]
你的Excel版本可读取此线程批注; 但如果在更新版本的Excel中打开文件，则对批注所作的任何改动都将被删除。了解详细信息: https://go.microsoft.com/fwlink/?linkid=870924
注释:
    delay</t>
        </r>
      </text>
    </comment>
    <comment ref="G26" authorId="4">
      <text>
        <r>
          <rPr>
            <sz val="10"/>
            <rFont val="宋体"/>
            <charset val="134"/>
          </rPr>
          <t>[线程批注]
你的Excel版本可读取此线程批注; 但如果在更新版本的Excel中打开文件，则对批注所作的任何改动都将被删除。了解详细信息: https://go.microsoft.com/fwlink/?linkid=870924
注释:
    Delay，可能不再续保</t>
        </r>
      </text>
    </comment>
    <comment ref="G27" authorId="5">
      <text>
        <r>
          <rPr>
            <sz val="10"/>
            <rFont val="宋体"/>
            <charset val="134"/>
          </rPr>
          <t>[线程批注]
你的Excel版本可读取此线程批注; 但如果在更新版本的Excel中打开文件，则对批注所作的任何改动都将被删除。了解详细信息: https://go.microsoft.com/fwlink/?linkid=870924
注释:
    江西省级项目设计中，南昌项目大概率合并入，不再续保</t>
        </r>
      </text>
    </comment>
    <comment ref="G28" authorId="6">
      <text>
        <r>
          <rPr>
            <sz val="10"/>
            <rFont val="宋体"/>
            <charset val="134"/>
          </rPr>
          <t>[线程批注]
你的Excel版本可读取此线程批注; 但如果在更新版本的Excel中打开文件，则对批注所作的任何改动都将被删除。了解详细信息: https://go.microsoft.com/fwlink/?linkid=870924
注释:
    delay</t>
        </r>
      </text>
    </comment>
    <comment ref="G29" authorId="7">
      <text>
        <r>
          <rPr>
            <sz val="10"/>
            <rFont val="宋体"/>
            <charset val="134"/>
          </rPr>
          <t>[线程批注]
你的Excel版本可读取此线程批注; 但如果在更新版本的Excel中打开文件，则对批注所作的任何改动都将被删除。了解详细信息: https://go.microsoft.com/fwlink/?linkid=870924
注释:
    可能下线，同区域有政府指导的“宁夏医惠保”</t>
        </r>
      </text>
    </comment>
    <comment ref="G30" authorId="8">
      <text>
        <r>
          <rPr>
            <sz val="10"/>
            <rFont val="宋体"/>
            <charset val="134"/>
          </rPr>
          <t xml:space="preserve">[线程批注]
你的Excel版本可读取此线程批注; 但如果在更新版本的Excel中打开文件，则对批注所作的任何改动都将被删除。了解详细信息: https://go.microsoft.com/fwlink/?linkid=870924
注释:
    Delay，自治区整体有个项目设计中
</t>
        </r>
      </text>
    </comment>
    <comment ref="G34" authorId="9">
      <text>
        <r>
          <rPr>
            <sz val="10"/>
            <rFont val="宋体"/>
            <charset val="134"/>
          </rPr>
          <t>[线程批注]
你的Excel版本可读取此线程批注; 但如果在更新版本的Excel中打开文件，则对批注所作的任何改动都将被删除。了解详细信息: https://go.microsoft.com/fwlink/?linkid=870924
注释:
    江西省级项目运作中，地市项目大概率不续保</t>
        </r>
      </text>
    </comment>
    <comment ref="K61" authorId="10">
      <text>
        <r>
          <rPr>
            <sz val="10"/>
            <rFont val="宋体"/>
            <charset val="134"/>
          </rPr>
          <t>[线程批注]
你的Excel版本可读取此线程批注; 但如果在更新版本的Excel中打开文件，则对批注所作的任何改动都将被删除。了解详细信息: https://go.microsoft.com/fwlink/?linkid=870924
注释:
    延长发售期半个月。</t>
        </r>
      </text>
    </comment>
    <comment ref="T62" authorId="11">
      <text>
        <r>
          <rPr>
            <b/>
            <sz val="9"/>
            <rFont val="宋体"/>
            <charset val="134"/>
          </rPr>
          <t>Dai, Jiayuan:</t>
        </r>
        <r>
          <rPr>
            <sz val="9"/>
            <rFont val="宋体"/>
            <charset val="134"/>
          </rPr>
          <t xml:space="preserve">
4年平均
</t>
        </r>
      </text>
    </comment>
    <comment ref="T69" authorId="12">
      <text>
        <r>
          <rPr>
            <sz val="10"/>
            <rFont val="宋体"/>
            <charset val="134"/>
          </rPr>
          <t xml:space="preserve">[线程批注]
你的Excel版本可读取此线程批注; 但如果在更新版本的Excel中打开文件，则对批注所作的任何改动都将被删除。了解详细信息: https://go.microsoft.com/fwlink/?linkid=870924
注释:
    根据累积参保量估算
</t>
        </r>
      </text>
    </comment>
    <comment ref="G96" authorId="13">
      <text>
        <r>
          <rPr>
            <sz val="10"/>
            <rFont val="宋体"/>
            <charset val="134"/>
          </rPr>
          <t xml:space="preserve">[线程批注]
你的Excel版本可读取此线程批注; 但如果在更新版本的Excel中打开文件，则对批注所作的任何改动都将被删除。了解详细信息: https://go.microsoft.com/fwlink/?linkid=870924
注释:
    延长参保
</t>
        </r>
      </text>
    </comment>
    <comment ref="G138" authorId="14">
      <text>
        <r>
          <rPr>
            <sz val="10"/>
            <rFont val="宋体"/>
            <charset val="134"/>
          </rPr>
          <t>[线程批注]
你的Excel版本可读取此线程批注; 但如果在更新版本的Excel中打开文件，则对批注所作的任何改动都将被删除。了解详细信息: https://go.microsoft.com/fwlink/?linkid=870924
注释:
    即将发布</t>
        </r>
      </text>
    </comment>
    <comment ref="AF166" authorId="15">
      <text>
        <r>
          <rPr>
            <sz val="10"/>
            <rFont val="宋体"/>
            <charset val="134"/>
          </rPr>
          <t>[线程批注]
你的Excel版本可读取此线程批注; 但如果在更新版本的Excel中打开文件，则对批注所作的任何改动都将被删除。了解详细信息: https://go.microsoft.com/fwlink/?linkid=870924
注释:
    近期可能会调整该责任目录，单价5000以下符合申报要求的产品如鼎优乐将持续和相关部门沟通</t>
        </r>
      </text>
    </comment>
  </commentList>
</comments>
</file>

<file path=xl/sharedStrings.xml><?xml version="1.0" encoding="utf-8"?>
<sst xmlns="http://schemas.openxmlformats.org/spreadsheetml/2006/main" count="7597" uniqueCount="2369">
  <si>
    <t>省份</t>
  </si>
  <si>
    <t>城市</t>
  </si>
  <si>
    <t>保险名称（含链接）</t>
  </si>
  <si>
    <t>公众号名称</t>
  </si>
  <si>
    <t>起始时间</t>
  </si>
  <si>
    <t>保障期限</t>
  </si>
  <si>
    <t>购买期限</t>
  </si>
  <si>
    <t>是否允许个人账户购买</t>
  </si>
  <si>
    <t>参保人群</t>
  </si>
  <si>
    <t>报销待遇</t>
  </si>
  <si>
    <t>保费</t>
  </si>
  <si>
    <t>参保人数/医保人数</t>
  </si>
  <si>
    <t>增值服务</t>
  </si>
  <si>
    <t xml:space="preserve">承办  </t>
  </si>
  <si>
    <t>指导单位</t>
  </si>
  <si>
    <t>联系电话</t>
  </si>
  <si>
    <t>医保目录内</t>
  </si>
  <si>
    <t>医保目录外</t>
  </si>
  <si>
    <t>免赔</t>
  </si>
  <si>
    <t>比例</t>
  </si>
  <si>
    <t>限额</t>
  </si>
  <si>
    <t>特药免赔</t>
  </si>
  <si>
    <t>特药种类</t>
  </si>
  <si>
    <t>特药名称</t>
  </si>
  <si>
    <t>特药限额</t>
  </si>
  <si>
    <t>特药比例</t>
  </si>
  <si>
    <t>自费</t>
  </si>
  <si>
    <t>缴费</t>
  </si>
  <si>
    <t>保险公司</t>
  </si>
  <si>
    <t xml:space="preserve">    第三方机构</t>
  </si>
  <si>
    <t>全国</t>
  </si>
  <si>
    <t>360城惠保（全国版）</t>
  </si>
  <si>
    <t>次日0时生效</t>
  </si>
  <si>
    <t>随时购买，次日生效</t>
  </si>
  <si>
    <t>Y</t>
  </si>
  <si>
    <t>参加社保</t>
  </si>
  <si>
    <t>2万</t>
  </si>
  <si>
    <t>100万</t>
  </si>
  <si>
    <t>15种</t>
  </si>
  <si>
    <t>泰圣奇（阿替利珠单抗）；
英飞凡（度伐利尤单抗）；
赫赛莱（恩美曲妥珠单抗）
则乐（尼拉帕利）；
安森珂（阿帕他胺）；
可瑞达（帕博利珠单抗）；
百泽安（替雷利珠单抗）；
百悦泽（替雷利珠单抗）；
达希纳（尼洛替尼）；
安适利（维布妥昔单抗）；
艾瑞卡（卡瑞利珠单抗）；
安加维（地舒单抗注射液）；
海乐卫（甲磺酸艾立布林注射液）；
安吉优（维得利珠单抗）；
凡瑞克（安立生坦片）；</t>
  </si>
  <si>
    <t>线上申请</t>
  </si>
  <si>
    <t>泰康在线，国寿财险，众安保险，中华财险，众惠相互，永诚财险，大家养老</t>
  </si>
  <si>
    <t>全民普惠保</t>
  </si>
  <si>
    <t>200万</t>
  </si>
  <si>
    <t>25种</t>
  </si>
  <si>
    <t>贝美纳，阿美达，英非凡，欧狄沃，艾坦，赫赛莱，爱谱沙，安森珂，多吉美，爱优特，昕福，法舒克，艾博定，可瑞达，拓益，泰菲乐，兆珂，安显，万珂，百泽安，达伯舒，艾瑞卡，捷恪卫，福安维，安加维</t>
  </si>
  <si>
    <t>自己线上申请</t>
  </si>
  <si>
    <t>最高补贴200万</t>
  </si>
  <si>
    <t>水滴保险，众安保险</t>
  </si>
  <si>
    <t>58惠民保</t>
  </si>
  <si>
    <t>参加医保不含既往症（投保年龄：30天-60岁）</t>
  </si>
  <si>
    <t>16种</t>
  </si>
  <si>
    <t>安圣莎、福可维、欧狄沃、帕捷特、赫赛汀、 利普卓、多吉美、达希纳、格尼可、可瑞达、拓益、安显、百泽安、达伯舒、捷恪卫、安加维</t>
  </si>
  <si>
    <t>58元/年（满30天-29周岁），68元/年（30-39周岁），168元/年（40-60周岁）</t>
  </si>
  <si>
    <t>众安保险，帮帮保险</t>
  </si>
  <si>
    <t>029-86486699，952299，1010-9955</t>
  </si>
  <si>
    <t>北京</t>
  </si>
  <si>
    <t>京惠保</t>
  </si>
  <si>
    <t>北京京惠保</t>
  </si>
  <si>
    <t>2020.12.01-2021.11.30</t>
  </si>
  <si>
    <t>2020.10.15-2020.11.30</t>
  </si>
  <si>
    <t>参加医保含既往症</t>
  </si>
  <si>
    <t>17种</t>
  </si>
  <si>
    <t>纳武利尤单抗（欧狄沃）；盐酸安罗替尼胶囊（福可维）；甲磺酸阿美替尼片（阿美乐）；达雷拓尤单抗注射液（兆珂）；艾立布林（海乐卫）特瑞普利单抗注射液（拓益）；西妥昔单抗注射液（爱必妥）；恩扎卢胺（安可坦）；替雷利珠单抗（百泽安）；尼洛替尼（达希纳）；曲美替尼（迈吉宁）；达拉非尼（泰菲乐）；尼拉帕利（则乐）；拉帕替尼（泰立沙）；阿帕他胺片（安森珂）；甲磺酸氟马替尼片（豪森福昕）；注射用卡瑞利珠单抗（艾瑞卡）</t>
  </si>
  <si>
    <t>79元/年</t>
  </si>
  <si>
    <t>50万</t>
  </si>
  <si>
    <t>含特药直付、特药购买及配送、慈善赠药和临床试验申请指导。
含风险评估、癌症及肿瘤筛查。含公益咨询、在线图文问诊、药事咨询、健康问问。含健康专栏、慢病药品配送。含用药提醒、用药福利计划。含健康体检服务。含重疾就医指导、重疾门诊绿通+陪诊、康复追踪</t>
  </si>
  <si>
    <t>北京市委社会工委市民政局，北京市大数据管理局，中关村科学城管理委员会</t>
  </si>
  <si>
    <t>360北京城惠宝</t>
  </si>
  <si>
    <t>360城惠宝</t>
  </si>
  <si>
    <t>2020.9.28</t>
  </si>
  <si>
    <t>2020.9.23-2021.9.22</t>
  </si>
  <si>
    <t>参加医保不含特定10大类既往症</t>
  </si>
  <si>
    <t>阿替丽珠单抗；度伐利尤单抗；恩美曲妥珠单抗；尼拉帕利；阿帕他胺；帕博丽珠单抗；替雷利珠单抗；泽布替尼；尼洛替尼；维布妥西单抗；卡瑞丽珠单抗；地舒单抗；甲磺酸艾力布林注射液；维得利珠单抗；安立生坦片</t>
  </si>
  <si>
    <t>0岁-17岁：19/年 ；18岁-60岁：39/年 ；61岁-80岁：199/年</t>
  </si>
  <si>
    <t>关爱父母孝心体检套餐：只要父母年龄在45岁以上，就可以免费领取2份价值470元的体检套餐，服务医院非常广泛，包括全国184个城市，555家机构；
十项口腔检查套餐：投保北京城惠保后，就可以到指定机构免费体验综合全面专科检查，口腔问题，早检查，早发现，早治疗；
视频问诊服务：保单有效期内，微信关注“泰康在线保险服务”公众号，点击健康服务-视频问诊，就可以不限次使用泰康在线视频问诊服务。资深全科及儿科医生7*24小时在线提供咨询。</t>
  </si>
  <si>
    <t>中华社会救助基金会，联合众安保险、泰康在线、中华财险、永诚保险、大家养老保险、中国人寿财险、众惠相互</t>
  </si>
  <si>
    <t>360保险</t>
  </si>
  <si>
    <t>北京市卫健委，中国医院协会，北京医学会，中国科学院成员单位国科健康</t>
  </si>
  <si>
    <t>010-52447965</t>
  </si>
  <si>
    <t>天津</t>
  </si>
  <si>
    <t>津城保</t>
  </si>
  <si>
    <t>2021.1.1-2021.12.31</t>
  </si>
  <si>
    <t>2020.11.16-2020.12.31</t>
  </si>
  <si>
    <t>参加医保</t>
  </si>
  <si>
    <t>20种</t>
  </si>
  <si>
    <t>可瑞达（帕博利珠单抗，默沙东）；拓益（帕博利珠单抗，君实生物）；安加维（地舒单抗，安进）；艾瑞卡（卡瑞利珠单抗，恒瑞医药）；百泽安（替雷利珠单抗，百济神州）；爱博新（哌柏西利，辉瑞制药）；迈吉宁（曲美替尼，诺华制药）；安可坦（恩扎卢胺，安斯泰来）；英飞凡（度伐利尤单抗，阿斯利康）；豪森昕福（氟马替尼，豪森药业）；泰菲乐（达拉非尼，诺华制药）；安森珂（阿帕他胺，西安杨森）；兆珂（达雷妥尤单抗，西安杨森）；瑞百安（依洛尤单抗，安进）；科望（沙丙蝶吟片，百傲万里）；维达全（氟苯唑酸葡胺，辉瑞制药）；艾越（紫杉醇（白蛋白结合型），恒瑞制药；安适利（维布妥昔单抗，武田制药）；多泽润（达可替尼，辉瑞制药））；百悦泽（泽布替尼，百济神州）</t>
  </si>
  <si>
    <t>微信公众号</t>
  </si>
  <si>
    <t>76元/年</t>
  </si>
  <si>
    <t>在线问诊，慢病管理，疾病预防，食药优惠，健康促进，特药服务，重疾就医服务</t>
  </si>
  <si>
    <t>阳光财产保险主承保，中华联合财产保险、太平财产保险、天安财产保险共同承保，银邦保险提供销售和代收保费</t>
  </si>
  <si>
    <t>津惠保</t>
  </si>
  <si>
    <t>2020.10.25-202.11.30</t>
  </si>
  <si>
    <t>参加天津医保及参加北京医保的天津市民</t>
  </si>
  <si>
    <t>个人80%，天津市医疗救助人群90%</t>
  </si>
  <si>
    <t xml:space="preserve">泰圣奇；欧狄沃；百泽安； 迈吉宁；泰菲乐 ；安森珂； 爱博新；安可坦； 海乐卫 ；则乐 ；安加维 ；阿美乐 ；英飞凡；爱必妥；拓益； 多美素； 维加特；Qarziba（迪妥昔单抗）；艾伏尼布（Tibsovo） </t>
  </si>
  <si>
    <t>68元/年</t>
  </si>
  <si>
    <t>基因检测立减，线上全科咨询，直赔购药服务，护理服务，肿瘤多学科会诊，重疾住院</t>
  </si>
  <si>
    <t>中国（天津）自由贸易试验区，天津港保税区管理委员会</t>
  </si>
  <si>
    <t>4006 406 206</t>
  </si>
  <si>
    <t>黑龙江</t>
  </si>
  <si>
    <t>哈尔滨</t>
  </si>
  <si>
    <t>i龙惠保</t>
  </si>
  <si>
    <t>2020年</t>
  </si>
  <si>
    <t>2020.12.1-2021.11.30</t>
  </si>
  <si>
    <t>2020.10.27-2020.11.30</t>
  </si>
  <si>
    <t>参加医保除15种既往症</t>
  </si>
  <si>
    <t>3万</t>
  </si>
  <si>
    <t>阿替利珠单抗（泰圣奇）；纳武利尤单抗（欧狄沃）；达可替尼（多泽润);度伐利尤单抗（英飞凡）；恩美曲妥珠单抗（赫赛莱）；帕博利珠单抗（可瑞达）；尼拉帕利（则乐）；地加瑞克（费蒙格）；甲磺酸氟马替尼片（豪森昕福）；替雷利珠单抗（百泽安）；泽布替尼（百悦泽）；维布妥昔单抗（安适利）；西妥昔单抗（爱必妥）；地舒单抗（安加维）；特瑞普利单抗注射液（拓益）</t>
  </si>
  <si>
    <t>89元/年</t>
  </si>
  <si>
    <t>平安财险哈尔滨中心支公司；大地财险哈尔滨中心支公司；阳光财险哈尔滨中心支公司；华安财险哈尔滨中心支公司；大家财险黑龙江分公司</t>
  </si>
  <si>
    <t>平安健康</t>
  </si>
  <si>
    <t>黑龙江省医疗保健局</t>
  </si>
  <si>
    <t>0415-87844651</t>
  </si>
  <si>
    <t>江苏</t>
  </si>
  <si>
    <t>南京</t>
  </si>
  <si>
    <t>惠民健康保</t>
  </si>
  <si>
    <t>南京智慧医疗</t>
  </si>
  <si>
    <t>2019年初</t>
  </si>
  <si>
    <t>2020.3.1-2021.2.28</t>
  </si>
  <si>
    <t>2020.3.1前</t>
  </si>
  <si>
    <t>我的南京APP和南京市智慧医疗微信公众号</t>
  </si>
  <si>
    <t>49元/年2020年版调整为99元/年</t>
  </si>
  <si>
    <t>38万/700万
（2019年）</t>
  </si>
  <si>
    <t xml:space="preserve">在一个保单年度内，可享受专家讲堂、图文专病咨询、名医二诊等。
（可另外加购商保：抗癌险、百万医疗）
</t>
  </si>
  <si>
    <t>泰康在线财产保险股份有限公司</t>
  </si>
  <si>
    <t>南京市智慧医疗投资运营服务有限公司</t>
  </si>
  <si>
    <t>联系方式：95522转3号线公司名称登记反馈</t>
  </si>
  <si>
    <t>苏州</t>
  </si>
  <si>
    <t>苏惠保</t>
  </si>
  <si>
    <t>2020.1.1-2020.12.31</t>
  </si>
  <si>
    <t>2020.4.10-2020.5.10</t>
  </si>
  <si>
    <t>参加医保除10种既往症</t>
  </si>
  <si>
    <t>可瑞达（黑色素瘤肺癌），欧狄沃（肺癌），乐卫码（肺癌），爱博新（乳腺癌），泰瑞沙（肺癌），达希纳（白血病），安可坦（前列腺炎），迈吉宁（黑色素瘤），泰菲乐（黑色素瘤），则乐（卵巢癌），百泽安（淋巴癌），泰圣奇（肺癌），安森珂（前列腺癌），豪森福昕（白血病），赫赛莱（乳腺癌）</t>
  </si>
  <si>
    <t>无</t>
  </si>
  <si>
    <t>微信公众号或东吴健康APP“我的苏惠保”</t>
  </si>
  <si>
    <t>49元/年</t>
  </si>
  <si>
    <t>约70万/760万</t>
  </si>
  <si>
    <t>亲友特药折扣，肿瘤多学科会诊，癌症基因监测立减，海南博鳌乐城就医服务，电话咨询服务，送药上门，特药直付服务</t>
  </si>
  <si>
    <t>东吴人寿保险股份有限公司，汇中保险经纪有限责任公司提供销售及收保费服务</t>
  </si>
  <si>
    <t>镁信</t>
  </si>
  <si>
    <t>苏州市医保局，苏州市人力资源和社会保障局，苏州市民政局，苏州市卫生健康委员会，苏州市社会保险基金管理中心</t>
  </si>
  <si>
    <t>（0512）69580000</t>
  </si>
  <si>
    <t>连云港</t>
  </si>
  <si>
    <t>连惠保</t>
  </si>
  <si>
    <t>2020.8.1-2020.7.31</t>
  </si>
  <si>
    <t>2020.7.1-2020.7.31</t>
  </si>
  <si>
    <t>参加医保除12种既往症</t>
  </si>
  <si>
    <t>目前无特药目录</t>
  </si>
  <si>
    <t>专家门诊协助就医服务、恶性肿瘤多学科会诊服务、肿瘤新特药配送上门、药品分歧申请协助服务、基因检测折扣服务等7项增值服务</t>
  </si>
  <si>
    <t>中国人民财产保险股份有限公回公司连云港市分公司</t>
  </si>
  <si>
    <t>上海暖哇科技有限公司，连云港交空智慧城市技术有限公司，紫光云数科技（连云港）有限公司</t>
  </si>
  <si>
    <t>连云港市政务服务管理办公室，连云港市医疗保障局，连云港市地方金融监督管理局，中国银保监会连云港监管分局</t>
  </si>
  <si>
    <t>盐城</t>
  </si>
  <si>
    <t>盐城市民保</t>
  </si>
  <si>
    <t>2020.10.1-2021.9.30</t>
  </si>
  <si>
    <t>2020.8.14-2020.9.30</t>
  </si>
  <si>
    <t>注射用恩美曲妥珠单抗（赫赛莱），西达本胺片（爱谱沙），纳武利尤单抗注射液（欧狄沃），替雷利珠单抗注射液（百泽安），磷酸雌莫司汀胶囊（艾去适），注射用卡瑞利珠单抗（艾瑞卡），泽布替尼胶囊（百悦泽），甲磺酸氟马替尼片（昕福），注射用拉布立海（法舒克），帕博利珠单抗注射液（可瑞达），，曲美替尼片（迈吉宁），甲磺酸达拉非尼胶囊（泰菲乐），地舒单抗注射液（安加维），达雷妥尤单抗注射液（兆珂），盐酸安罗替尼胶囊（福可维）</t>
  </si>
  <si>
    <t>58元/年</t>
  </si>
  <si>
    <t>专家讲堂，图文专病咨询，检测检查优先，名医二诊，住院协调预约服务，用药指导及新特药咨询预约服务，高价值药品送药上门服务，慈善赠药协助申请服务，家庭基因检测关爱服务</t>
  </si>
  <si>
    <t>中国人民财产保险股份有限公司盐城市分公司</t>
  </si>
  <si>
    <t>盐城医疗保障局</t>
  </si>
  <si>
    <t>盐城惠民保</t>
  </si>
  <si>
    <t xml:space="preserve">2020.8.18 </t>
  </si>
  <si>
    <t>2020.10.9-2021.10.8</t>
  </si>
  <si>
    <t>2020.8.18-2020.10.18</t>
  </si>
  <si>
    <t>参加医保除5种既往症</t>
  </si>
  <si>
    <t>阿美乐（甲磺酸阿美替尼片）；多泽润（达可替尼）；泰圣奇（阿替利珠单抗）；乐卫玛（仑伐替尼）；豪森昕福（甲磺酸氟马替尼片）；艾诺宁（注射用盐酸伊达比星）；海乐卫（甲磺酸艾立布林）；则乐（尼拉帕利）；艾尼妥（注射用替莫唑胺）；百泽安（替雷利珠单抗注射液）；乐唯欣（注射用盐酸苯达莫司汀）；艾瑞卡（卡瑞利珠单抗）；万他维（吸入用伊洛前列素溶液）；安森珂（阿帕他胺）；安可坦（恩扎卢胺）；迈维宁（注射用盐酸美法仑）；兆珂（达雷妥尤单抗注射液）；泰菲乐（达拉非尼）；可瑞达（帕博利珠单抗）；迈吉宁（曲美替尼）</t>
  </si>
  <si>
    <r>
      <rPr>
        <sz val="10"/>
        <rFont val="等线"/>
        <charset val="134"/>
      </rPr>
      <t>人健康档案、特药用药及慈善援助指导、特药药品配送等</t>
    </r>
    <r>
      <rPr>
        <b/>
        <sz val="10"/>
        <color indexed="25"/>
        <rFont val="Microsoft YaHei UI"/>
        <charset val="134"/>
      </rPr>
      <t>7项</t>
    </r>
  </si>
  <si>
    <t>平安养老</t>
  </si>
  <si>
    <t>江苏智城惠恒科技</t>
  </si>
  <si>
    <t>0515-83080153、0515-88211989</t>
  </si>
  <si>
    <t>宿迁</t>
  </si>
  <si>
    <t>惠宿保</t>
  </si>
  <si>
    <t>2020.11.25</t>
  </si>
  <si>
    <t>2021.1.11-2022.1.10</t>
  </si>
  <si>
    <t>2020.11.25-2021.1.10</t>
  </si>
  <si>
    <t>参加医保除8种既往症</t>
  </si>
  <si>
    <t>阿美乐（阿美替尼）；
昕福（氟马替尼）；
法舒克（拉布立海）；
迈吉宁（拉布立海）；
安加维（地舒单抗）；
福可维（安罗替尼）；
万他维（吸入用伊洛前列素溶液）；
凡瑞克（安立生坦片）；
赫赛莱（恩美曲妥珠单抗）；
爱谱沙（西达本胺）；
欧狄沃（纳武利尤单抗）；
安森珂（阿帕他胺）；
百泽安（替雷利珠单抗）；
艾瑞卡（卡瑞利珠单抗）；
兆珂（达雷妥尤单抗）</t>
  </si>
  <si>
    <t>专病讲堂，图文专病咨询，检验检查优先，名医二诊，住院协调预约服务，用药指导及新药咨询预约，高价值药品送药上门，慈善赠药协助申请服务，家庭基因检测关爱，海外要购买协助，药品分期申请协助，在线理赔</t>
  </si>
  <si>
    <t>太平洋财险宿迁分公司，众安在线财产保险股份有限公司</t>
  </si>
  <si>
    <t>上海暖哇科技，南京市智慧医疗投资运营服务有限公司</t>
  </si>
  <si>
    <t>宿迁市医保局</t>
  </si>
  <si>
    <t>0527-84392960</t>
  </si>
  <si>
    <t>徐州</t>
  </si>
  <si>
    <t>惠徐保</t>
  </si>
  <si>
    <t>2021.01.01-2021.12.31</t>
  </si>
  <si>
    <t>2020.10.27-2021.12.31</t>
  </si>
  <si>
    <t>22种</t>
  </si>
  <si>
    <t>22种国家谈判药品，特立氟胺（多发性硬化患者）；托法替布、阿达木单抗、英付利西单抗、戈利木单抗、托珠单抗（类风湿关节炎（强直性脊柱炎、克罗恩病等））；奥马珠单抗（过敏性哮喘），麦格司他（C型尼曼匹克病）；重组人凝血因子VIIa（血友病）；司来帕格、安立生坦、波生坦、马昔腾坦、奥利西呱（肺动脉高压）、艾尔巴韦格拉瑞韦、来迪派韦索磷布韦（丙肝）；艾考恩丙替（艾滋病）；康柏西普、阿柏西普、雷珠单抗、地塞米松（玻璃体内植入剂）（黄斑病变（黄斑水肿））</t>
  </si>
  <si>
    <t>69元/年</t>
  </si>
  <si>
    <t>徐州市医保局</t>
  </si>
  <si>
    <t>400 001 3666</t>
  </si>
  <si>
    <t>南通</t>
  </si>
  <si>
    <t>南通全民保</t>
  </si>
  <si>
    <t>2020.11.1-2020.10.31</t>
  </si>
  <si>
    <t>2020.9.10-2020.10.31</t>
  </si>
  <si>
    <t>艾瑞妮（马来酸吡咯替尼）；爱必妥（西妥昔单抗）；可瑞达（帕博丽珠单抗）；艾瑞卡（卡瑞丽珠单抗）；艾森特（阿比特龙）；安可坦（恩扎卢胺）；艾坦（甲磺酸阿帕替尼）；易瑞沙（吉非替尼）；格列卫（甲磺酸伊马替尼）；齐普怡（来那度胺）；欧狄沃（纳武利尤单抗）；泰菲乐（甲磺酸达拉非尼）；麦吉宁（曲美替尼）；百泽安（替雷利珠单抗）；赫赛莱（恩美曲妥珠单抗）</t>
  </si>
  <si>
    <t>既往未恶性肿瘤患者：医保目录内已社保结算100%，未社保结算60%，医保目录外报销100%；既往已恶性肿瘤患者：医保目录内已社保结算50%，未社保结算30%，医保目录外报销50%；</t>
  </si>
  <si>
    <t>99元/年</t>
  </si>
  <si>
    <t>质子重离子医疗费用保险金，无恶性肿瘤既往症80%；恶性肿瘤既往症不赔付，质子重离子及特药无年免费额，保额100万</t>
  </si>
  <si>
    <t>太平人寿保险有限公司南通中心支公司，众安财产保险股份有限公司</t>
  </si>
  <si>
    <t>镇江</t>
  </si>
  <si>
    <t>惠镇保</t>
  </si>
  <si>
    <t xml:space="preserve">2020.11.18 </t>
  </si>
  <si>
    <t>2020.11.18-2020.12.31</t>
  </si>
  <si>
    <t>泰圣奇（阿替利珠单抗，罗氏）；欧狄沃（纳武利尤单抗注射液，施贵宝）；百泽安（替雷利珠单抗，百济神州）；迈吉宁（曲美替尼片，诺华制药）；泰菲乐（甲磺酸达拉非尼胶囊，诺华制药）；安森珂（阿帕他胺，杨森）；安可坦（恩扎卢胺，安斯泰来）；海乐卫（甲磺酸艾立布林，卫材）；安可维（地舒单抗注射液，安进制药）；豪森昕福（甲磺酸氟马替尼片，江苏豪森药业）；艾瑞卡（注射用卡瑞利珠单抗，恒瑞）；爱必妥（西妥昔单抗注射液，默克）；多美素（盐酸多柔比星脂质体注射液，石药）；瑞百安（依洛尤单抗注射液，安进）；科望（盐酸沙丙蝶吟片，百傲万里）</t>
  </si>
  <si>
    <t>59元/年</t>
  </si>
  <si>
    <t>特药直付，基因检测折扣u，海南博鳌乐城海外药品就医服务，国内特邀预约服务及配送服务，慈善赠药申请指导，普通药品折扣服务，特药用药病程管理，在线问诊，药品咨询指导，患者用药随访</t>
  </si>
  <si>
    <t>中原保险经纪，江苏圆心惠保科技有限公司</t>
  </si>
  <si>
    <t>中国人民财险镇江分公司</t>
  </si>
  <si>
    <t>泰州</t>
  </si>
  <si>
    <t>泰惠保</t>
  </si>
  <si>
    <t>2万（共用）</t>
  </si>
  <si>
    <t>个人80%，团体90%（3人以上）</t>
  </si>
  <si>
    <t>100万（共用）</t>
  </si>
  <si>
    <t>永安财险，国寿财险，平安养老，中华财险，天安财险，大家养老保险联合承保，无锡新天地保险代理有限公司泰州分公司推广服务</t>
  </si>
  <si>
    <t>江苏宇轩网络科技有限公司</t>
  </si>
  <si>
    <t>泰州市总工会，泰州市医保局，共青团泰州市委，泰州市妇女联合会，泰州市残疾人联合会</t>
  </si>
  <si>
    <t>浙江</t>
  </si>
  <si>
    <t>杭州</t>
  </si>
  <si>
    <t>杭州市民保</t>
  </si>
  <si>
    <t xml:space="preserve">2020.6.1 </t>
  </si>
  <si>
    <t>2020.8.1-2021.7.31</t>
  </si>
  <si>
    <t>2020.6.1-2020.7.31</t>
  </si>
  <si>
    <t>参加医保除5类既往症</t>
  </si>
  <si>
    <t>16种肿瘤特药4种罕见病药</t>
  </si>
  <si>
    <t>仑伐替尼（乐卫玛）、达可替尼（多泽润）、度伐利尤单抗（英飞凡）、帕博利珠单抗（可瑞达）、曲美替尼（迈吉宁）、达拉非尼（泰菲乐）、阿帕他胺（安森珂）、恩扎卢胺（安可坦）、恩美曲妥珠单抗（赫赛莱）、艾立布林（海乐卫）、哌柏西利（爱博新）、来那度胺（瑞复美）、达雷妥尤单抗（兆珂）、替雷利珠单抗（百泽安）、尼拉帕利（则乐）、肿瘤电场治疗（爱普盾）、伊洛前列素（万他维）、曲前列尼尔（瑞莫杜林）、芬戈莫德（捷灵亚）、乌司奴单抗（喜达诺）</t>
  </si>
  <si>
    <t>① 线上申请：“杭州市民保”微信公众号-服务中心-住院理赔-下载“平安健康”APP，进行线上理赔申请。
② 线下申请：登陆平安健康险PC官网（www.health.pingan.com）， 下载理赔申请书并填写后，与相关申请材料一同邮寄至机构</t>
  </si>
  <si>
    <t>亲友特药药品福利、国内预约购药及配送等八项服务</t>
  </si>
  <si>
    <t>平安健康保险股份有限公司浙江分公司</t>
  </si>
  <si>
    <t>丽水</t>
  </si>
  <si>
    <t>浙丽保</t>
  </si>
  <si>
    <t>2020.11.17</t>
  </si>
  <si>
    <t>截止2020.12.31</t>
  </si>
  <si>
    <t>20万以下75%；20万-50万85%；50万-100万90%（总体）</t>
  </si>
  <si>
    <t>不封顶</t>
  </si>
  <si>
    <t>1.8万</t>
  </si>
  <si>
    <t>不封顶（共用）</t>
  </si>
  <si>
    <t>职工授权同意后可以通过个人账户购买参保，个人账户历年结余部分可通过家庭共济为直系亲属购买“浙丽保”。参保人授权同意后可通过社会保障卡代扣代缴保费，也可通过浙里办、微信、支付宝、短信平台等渠道为自己或者近亲属参保缴费。为助力精准扶贫，全市困难人员（特困、低保、低边）将由当地政府出资参保</t>
  </si>
  <si>
    <t>人保财险，中国人寿，平安养老，太平洋保险，泰康养老</t>
  </si>
  <si>
    <t>丽水市全民健康补充医疗保险指导小组，丽水市医保局</t>
  </si>
  <si>
    <t>金华</t>
  </si>
  <si>
    <t>准备中</t>
  </si>
  <si>
    <t>宁波</t>
  </si>
  <si>
    <t>甬惠保</t>
  </si>
  <si>
    <t>宁波甬惠保</t>
  </si>
  <si>
    <t>2020.9.1-2021.8.31</t>
  </si>
  <si>
    <t>2020.7.18-2020.8.31</t>
  </si>
  <si>
    <t>11种</t>
  </si>
  <si>
    <r>
      <rPr>
        <sz val="10"/>
        <rFont val="等线"/>
        <charset val="134"/>
      </rPr>
      <t>恩美曲妥珠单抗</t>
    </r>
    <r>
      <rPr>
        <sz val="10"/>
        <rFont val="Arial"/>
        <charset val="134"/>
      </rPr>
      <t>T-DM1</t>
    </r>
    <r>
      <rPr>
        <sz val="10"/>
        <rFont val="方正书宋_GBK"/>
        <charset val="134"/>
      </rPr>
      <t>（赫赛莱）；哌柏西利胶囊（爱博新）；甲磺酸氟马替尼片（豪森昕福）；甲磺酸达拉非尼（泰菲乐）；曲美替尼（迈吉宁）；特瑞普利单抗注射液（拓益）；恩扎卢胺（安可坦）；替雷利珠单抗抗（百泽安）；地舒单抗注射液（安加维）；盐酸沙丙蝶呤片（科望）；依洛尤单抗注射液（瑞百安）</t>
    </r>
  </si>
  <si>
    <t>59元</t>
  </si>
  <si>
    <t>65万</t>
  </si>
  <si>
    <t>健康会员计划：慢病药品配送，公益咨询，用药提醒，健康专栏，风险评估，健康问问，视频医药卡；
重大疾病服务：康复指南，定期随访，心理咨询，特邀配送，专家门诊绿通（含陪诊服务）</t>
  </si>
  <si>
    <t>平安财险宁波分公司</t>
  </si>
  <si>
    <t>因数健康</t>
  </si>
  <si>
    <t>宁波市人民政府金融工作办公室、宁波市大数据发展管理局、宁波市卫生健康委员会、宁波市经济和信息化局、宁波国家高新区管委会</t>
  </si>
  <si>
    <t>工惠保</t>
  </si>
  <si>
    <t>2020.9.20</t>
  </si>
  <si>
    <t>2021.1.1后每月可参保</t>
  </si>
  <si>
    <t xml:space="preserve">100万 </t>
  </si>
  <si>
    <t>不限产品</t>
  </si>
  <si>
    <t>本公司向同一被保险人累计给付的社保外住院医疗保险金(含门诊特殊病种)与符合当地基本医疗保险报销范围外的特药医疗保险金(癌症处方外配药)之和以100万元为限。
3.特药医疗保险金:
在被保险人的保险期间内,如果被保险人经指定医院初次确诊为恶性肿瘤(含白血病、淋巴瘤),对该被保险人在宁波市范围内指定医院住院期间或门诊特殊病种治疗时,持宁波市二级或二级以上指定医院医生开具的处方在宁波市内医保定点零售药店购买治疗恶性肿瘤的合理且医学必需的药品费用,按宁波市基本医疗保险报销范围,符合当地基本医疗保险报销范围内的特药医疗保险金(癌症处方外配药)不单设免赔额和保障额度,其费用纳入社保内住院医疗保险金(含门诊特殊病种),赔付比例参照社保内住院医疗保险金(含门诊特殊病种)。符合当地基本医疗保险报销范围外的特药医疗保险金(癌症处方外配药)不单设免赔额和保障额度,其费用纳入社保外住院医疗保险金(含门诊特殊病种),赔付比例参照社保外住院医疗保险金(含门诊特殊病种)。异地就医发生的特药医疗保险金(癌症处方外配药),本产品不予赔付。
药品不包括在治疗时当地政府适用的《国家基本医疗保险、工伤保险和生育保险药品目录》及相关规定中不予给付的下列药品:营养补充类药品,免疫功能调节类药品以及中草药类药品。</t>
  </si>
  <si>
    <t>微信公众号，宁波银行APP，公司可统一购买</t>
  </si>
  <si>
    <t>50岁以下68元/年；50岁以上168元/年，宁波银行针对100万客户，凭身份证领取30元补贴</t>
  </si>
  <si>
    <t>泰康养老保险股份有限公司宁波分公司</t>
  </si>
  <si>
    <t>腾讯微保</t>
  </si>
  <si>
    <t>宁波市总工会、宁波市人民政府金融工作办公室、宁波银保监局</t>
  </si>
  <si>
    <t>个人：4006695522   单位：0574-87885678
0574-89130600</t>
  </si>
  <si>
    <t>宁波市民保</t>
  </si>
  <si>
    <t>2020.8.9-2021.9.9</t>
  </si>
  <si>
    <t>2020.8.9-2020.9.9</t>
  </si>
  <si>
    <t xml:space="preserve">乐卫玛（仑伐替尼，卫材 /默沙东）；泰圣奇（阿替利珠单抗，罗氏制药）；多泽润（达可替尼，辉瑞）；英飞凡（度伐 利尤单抗，阿斯利康）；爱博新（哌柏西利，辉瑞）；赫赛莱（恩美曲妥珠单抗，罗氏制药）；海乐卫（艾立布林，卫材）；则乐（尼拉帕利，再鼎医药）；安森珂（阿帕他胺，杨森）；安可坦（恩扎卢胺，安斯泰来 / 辉瑞），百泽安（替雷利珠单抗，百济神州），迈吉宁（曲美替尼，诺华制药），泰菲乐（达拉非尼，诺华制药）；万他维（吸入用伊洛前列素溶液，拜耳），捷灵亚（芬戈莫德，诺华制药）；
</t>
  </si>
  <si>
    <t>59元/人</t>
  </si>
  <si>
    <t>重大疾病早筛，药品咨询指导，预约送药上门，援助用药申请，海南博鳌乐城就医服务，临床实验申请，癌症基因检测</t>
  </si>
  <si>
    <t>中国太平洋人寿保险股份有限公司宁波分公司 
平安养老保险股份有限公司宁波分公司 
中国人寿保险股份有限公司宁波市分公司 
中国人民财产保险股份有限公司宁波市分公司</t>
  </si>
  <si>
    <t>复衡保险经纪公司提供销售及代收保费，上海镁信健康科技提供技术支持</t>
  </si>
  <si>
    <t>温州</t>
  </si>
  <si>
    <t>惠医保</t>
  </si>
  <si>
    <t>惠医保（支付宝）</t>
  </si>
  <si>
    <t>2020.9.10-2021.9.9</t>
  </si>
  <si>
    <t>2020.8.10-2020.9.9</t>
  </si>
  <si>
    <t>参加医保除12类既往症</t>
  </si>
  <si>
    <t>帕博利珠单抗（可瑞达）；达可替尼（多泽润）；度伐利尤单抗（英飞凡）；仑伐替尼（乐卫玛）；恩美曲妥珠单抗（赫赛莱）；艾立布林（海乐卫）；哌柏西利（爱博新）；替雷利珠单抗（百泽安）；尼拉帕利（则乐）；曲美替尼（迈吉宁）；达拉非尼（泰菲乐）；达雷妥尤单抗（兆珂）；来那度胺（瑞复美）；阿帕他胺（安森珂）；恩扎卢胺（安可坦）；肿瘤电场治疗（爱普盾）；芬戈莫德（捷灵亚）；曲前列尼尔（瑞莫杜林）；伊洛前列素（万他维）；乌司奴单抗（喜达诺）</t>
  </si>
  <si>
    <t>支付宝搜惠医保</t>
  </si>
  <si>
    <t>药品咨询服务、国内预约购药及配送服务、援助用药申请指导服务、海南博鳌乐城就医服务、临床实验申请服务、癌症基因检测服务、重大疾病早筛服务</t>
  </si>
  <si>
    <t>中国人民健康保险公司</t>
  </si>
  <si>
    <t>支付宝</t>
  </si>
  <si>
    <t>温州市金融办、市医保局、银保监温州分局</t>
  </si>
  <si>
    <t>嘉兴</t>
  </si>
  <si>
    <t>惠嘉保</t>
  </si>
  <si>
    <t>2020.8.13-2020.9.30</t>
  </si>
  <si>
    <t>2万（两项累计）</t>
  </si>
  <si>
    <t>200万（共用）</t>
  </si>
  <si>
    <t>18种</t>
  </si>
  <si>
    <t>多泽润（达可替尼片）；阿美乐（甲磺酸阿美替尼片）；泰圣奇（阿替利珠单抗注射液）；安森珂（阿帕他胺片）；艾瑞卡（注射用卡瑞利珠单抗）；乐卫玛（甲磺酸仑伐替尼胶囊）；爱谱沙（西达本胺片）；爱博新（哌柏西利胶囊）；海乐卫（甲磺酸艾立布林注射液）；赫赛莱（注射用恩美曲妥珠单抗）；艾越（注射用紫杉醇（白蛋白结合型））；百泽安（替雷利珠单抗注射液）；艾尼妥（注射用替莫唑胺）；百悦泽（泽布替尼胶囊）；爱必妥（西妥昔单抗注射液）；可瑞达（帕博丽珠单抗注射液）；福可维（盐酸安罗替尼胶囊）；安加维（地舒单抗注射液）</t>
  </si>
  <si>
    <t>69元</t>
  </si>
  <si>
    <t>7项肿瘤增值服务</t>
  </si>
  <si>
    <t>中国太平洋财产保险股份有限公司嘉兴中心支公司</t>
  </si>
  <si>
    <t>思派健康</t>
  </si>
  <si>
    <t>400-001-3666</t>
  </si>
  <si>
    <t>台州</t>
  </si>
  <si>
    <t>台州市民保</t>
  </si>
  <si>
    <t>2020.8.18-2020.9.30</t>
  </si>
  <si>
    <t>伦伐替妮（乐卫玛），阿替利珠单抗（泰圣奇），纳武利尤单抗（欧狄沃），度伐利尤单抗（英飞凡），恩美曲妥珠单抗）（赫赛莱），艾立布林（海乐卫），恩扎芦胺（安可坦），阿帕他胺（安森珂），尼拉帕利（则乐），替雷利珠单抗（百泽安），尼洛替尼（达希纳），曲美替尼（迈吉宁），达拉非尼（泰菲乐），达雷妥尤单抗（兆珂），西妥昔单抗（爱必妥），肿瘤电场治疗（爱普盾）</t>
  </si>
  <si>
    <t>中国平安财产保险股份有限公司台州中心支公司</t>
  </si>
  <si>
    <t>台州市保险行业协会</t>
  </si>
  <si>
    <t>安徽</t>
  </si>
  <si>
    <t>合肥</t>
  </si>
  <si>
    <t>合惠保</t>
  </si>
  <si>
    <t>2020.11.1-2021.10.31</t>
  </si>
  <si>
    <t>2020.9.8-2020.10.11</t>
  </si>
  <si>
    <t>免赔2万，报销比75%；限额100万</t>
  </si>
  <si>
    <t>附加增值服务”提供疾病管理相关流程的健康管理、健康咨询等服务，购买本平台合惠保健康保险产品即可成为“附加增值服务”的用户，用户可根据实际情况选择其中一种或多种服务进行使用。</t>
  </si>
  <si>
    <t>平安产险合肥中心支公司</t>
  </si>
  <si>
    <t>因数健康（服务平台）</t>
  </si>
  <si>
    <t>合肥市保险行业协会（指导单位）</t>
  </si>
  <si>
    <t>亳州</t>
  </si>
  <si>
    <t>亳惠保</t>
  </si>
  <si>
    <t>2020.10.12</t>
  </si>
  <si>
    <t>2020.12.16-2021.12.15</t>
  </si>
  <si>
    <t>2020.10.12-2020.12.15</t>
  </si>
  <si>
    <t>贝美纳（盐酸恩莎替尼片，贝达）；昕福（甲磺酸氟马替尼片，豪森）；法舒克（注射用拉布立海，赛诺菲）；安加维（地舒单抗注射液，安进）；福可维（盐酸安罗替尼胶囊，正大天晴）；万他维（吸入用伊洛前列素容液，拜耳）；赫赛莱（注射用恩美曲妥珠单抗，罗氏）；爱谱沙（西达本胺片，深圳微芯）；欧狄沃（纳武利尤单抗注射液，BMS）；安森珂（阿帕他胺片，杨森）；百泽安（替雷利珠单抗注射液，百济神州）；艾瑞卡（注射用卡瑞利珠单抗，恒瑞），百悦泽（泽布替尼胶囊，百济神州）；兆珂（达雷妥尤单抗注射液，杨森）</t>
  </si>
  <si>
    <t>微信公众号，水滴商城</t>
  </si>
  <si>
    <t>高值药品送药上门，高值药品垫付，慈善赠药协助申请，家庭基因检测，海外药品购买协助，药品分期申请协助，慢性病药品购药，患者管理</t>
  </si>
  <si>
    <t>中国人寿财产保险股份有限公司亳州市分公司</t>
  </si>
  <si>
    <t>水滴商城，上海诺慧医疗科技，亳州市信息产业发展有限公司，南京市智慧医疗投资运营服务有限公司</t>
  </si>
  <si>
    <t>亳州市金融监督管理局，亳州市银行保险监督管理分局，亳州市保险行业协会</t>
  </si>
  <si>
    <t>亳州保</t>
  </si>
  <si>
    <t>2020.10.15</t>
  </si>
  <si>
    <t>2020.11.30-2021.11.29</t>
  </si>
  <si>
    <t>2020.10.15-2020.11.29</t>
  </si>
  <si>
    <t>75%（自付部分）</t>
  </si>
  <si>
    <t>7*24小时免费互联网问诊、药品服务、体检、口腔检查、特定疾病服务</t>
  </si>
  <si>
    <t>泰康在线</t>
  </si>
  <si>
    <t>京东健康、泰康健投、泰康拜博口腔</t>
  </si>
  <si>
    <t>亳州市政府</t>
  </si>
  <si>
    <t>蚌埠</t>
  </si>
  <si>
    <t>蚌惠保</t>
  </si>
  <si>
    <t>蚌徽保</t>
  </si>
  <si>
    <t>2020.11.12</t>
  </si>
  <si>
    <t>第一轮：2020.11.16-2021.11.15；       第二轮：2020.12.16-2021.12.15</t>
  </si>
  <si>
    <t>第一轮：2020.10.12-2020.11.15；       第二轮：2020.11.16-2020.12.15</t>
  </si>
  <si>
    <t>参加医保除6种既往症</t>
  </si>
  <si>
    <t>特药：0元，非特药医保目录外：2万元</t>
  </si>
  <si>
    <t>多泽润（达可替尼）；
泰圣奇（阿替利珠单抗）；
豪森昕福（氟马替尼）；
赫赛莱（恩美曲妥珠单抗）；
泰立沙（甲苯磺酸拉帕替尼片）；
兆珂（达雷妥尤单抗）；
百泽安（替雷利珠单抗）；
安可坦（恩扎卢胺）；
迈吉宁（曲美替尼）；
安加维（地舒单抗注射液）；
泰菲乐（达拉非尼）；
利普卓（奥拉帕利片）；
爱优特（呋喹替尼）；
齐普怡（来那度胺）；
艾森特（阿比特龙）；
易瑞沙（吉非替尼）；
达伯舒（信迪利单抗注射液）；
达希纳（尼洛替尼胶囊）；</t>
  </si>
  <si>
    <t>特邀内100%，外80%</t>
  </si>
  <si>
    <t>0-50岁：59元/年；50以上：189元/年</t>
  </si>
  <si>
    <t>妙手医生服务（全科咨询+线上处方+送药上门）；癌症基因检测服务6000元代金券；海南博鳌乐城海外药品就医服务；参保即享受价值470元父母（孝心）体检套餐</t>
  </si>
  <si>
    <t>长安保险</t>
  </si>
  <si>
    <t>鲲鹏保险经纪</t>
  </si>
  <si>
    <t>4006-406-206</t>
  </si>
  <si>
    <t>阜阳</t>
  </si>
  <si>
    <t>惠皖保·阜阳</t>
  </si>
  <si>
    <t xml:space="preserve">2020.11.3 </t>
  </si>
  <si>
    <t>2020.11.3-2020.12.31</t>
  </si>
  <si>
    <t>2万-10万：80%；10万以上：90%</t>
  </si>
  <si>
    <t>迈吉宁（曲美替尼片）；
泰菲乐（甲磺酸达拉非尼片）；
安森珂（阿帕他胺）；
安可泰（恩扎卢胺）；
海乐卫（甲磺酸艾立布林）；
安加维（地舒单抗注射液）；
豪森昕福（甲磺酸氟马替尼片）；
艾瑞卡（注射用卡瑞利珠单抗）；
爱必妥（西妥昔单抗注射液）；
拓益（特瑞普利单抗注射液）；
多美素（盐酸多柔比星脂质体注射液）；
瑞百安（依洛尤单抗注射液）；
科望（盐酸沙丙蝶呤片）；
艾尼妥（注射用替莫唑胺）；
索马杜林（注射用醋酸兰瑞肽）；</t>
  </si>
  <si>
    <t>59元/年；99元/年</t>
  </si>
  <si>
    <t>药品资讯指导，送药到家，药品直付，慈善赠药，博鳌乐城就医，患者用药随访，全流程病程管理</t>
  </si>
  <si>
    <t>国元保险</t>
  </si>
  <si>
    <t>阜阳市银保监局，阜阳市地方金融银监局；阜阳市卫生健康委，阜阳市医保局</t>
  </si>
  <si>
    <t>0558-2278910</t>
  </si>
  <si>
    <t>安徽省</t>
  </si>
  <si>
    <t>皖惠保</t>
  </si>
  <si>
    <t>2020.11.21-2021.11.20</t>
  </si>
  <si>
    <t>截止2021.1.20</t>
  </si>
  <si>
    <t>150万</t>
  </si>
  <si>
    <t>未公布</t>
  </si>
  <si>
    <t>60（家庭）元/年；66（个人）元/年</t>
  </si>
  <si>
    <t>中国人民保险</t>
  </si>
  <si>
    <t>科大讯飞</t>
  </si>
  <si>
    <t>民政厅，金融管理局，银保监局，保险行业协会</t>
  </si>
  <si>
    <t>芜湖</t>
  </si>
  <si>
    <t>惠民保（APP惠民保）</t>
  </si>
  <si>
    <t>今日芜湖APP</t>
  </si>
  <si>
    <t>2020.7.1-2021.6.30</t>
  </si>
  <si>
    <t>2020.5.12-2020.6.21</t>
  </si>
  <si>
    <t>1.5万</t>
  </si>
  <si>
    <t>1-2万</t>
  </si>
  <si>
    <t>中国平安财产保险股份有限公司芜湖中心支公司</t>
  </si>
  <si>
    <t>广东</t>
  </si>
  <si>
    <t>广州</t>
  </si>
  <si>
    <t>广州惠医保</t>
  </si>
  <si>
    <t>惠民保</t>
  </si>
  <si>
    <t>2020.1.1-2021.12.31</t>
  </si>
  <si>
    <t>2019.12.1-2019.12.31</t>
  </si>
  <si>
    <t>N</t>
  </si>
  <si>
    <t>参加医保不含既往症</t>
  </si>
  <si>
    <t>2万（两项费用累计）</t>
  </si>
  <si>
    <t>哌柏西利胶囊（爱博新）、奥拉帕利片（利普卓）、注射用卡瑞利珠单抗（艾瑞卡）、信迪利单抗注射液（达伯舒）、达可替尼片（多泽润）、磷酸芦可替尼片（捷恪卫）、地拉罗司分散片（恩瑞格）、棕榈酸帕利哌酮注射液（善思达）、波生坦片（全可利）、注射用英夫利西单抗（类克）、特立氟胺片（奥巴捷）、特瑞普利单抗注射液（拓益）、注射用醋酸兰瑞肽（索马杜林）、麦格司他（泽维可）、沙丙蝶呤（科望）</t>
  </si>
  <si>
    <t>2-100万（共用）</t>
  </si>
  <si>
    <t>66万/1320万</t>
  </si>
  <si>
    <t>9项个人肿瘤医疗服务，1肿瘤疾病咨询，2分级服务，3早筛问卷及体检建议，4处方咨询，5用药咨询，6药品配送，7患者随访，8新药试验协助，9慈善援助指导</t>
  </si>
  <si>
    <t>平安健康保险股份有限公司广东分公司</t>
  </si>
  <si>
    <t>平安医保科技</t>
  </si>
  <si>
    <t>广州市医疗保险局，广州开发区管委会</t>
  </si>
  <si>
    <t>穗岁康</t>
  </si>
  <si>
    <t>广州医保</t>
  </si>
  <si>
    <t>截止2020.12.1</t>
  </si>
  <si>
    <t>230万</t>
  </si>
  <si>
    <t>1种</t>
  </si>
  <si>
    <t>百泽安（替雷利珠单抗注射液）</t>
  </si>
  <si>
    <t>医保个人账户划扣参保+个人在线支付参保+家庭投保</t>
  </si>
  <si>
    <t>180元/人</t>
  </si>
  <si>
    <t>30万</t>
  </si>
  <si>
    <t>中国人寿，平安养老，人保财险，太平洋人寿</t>
  </si>
  <si>
    <t>广州市医保局</t>
  </si>
  <si>
    <t>河源</t>
  </si>
  <si>
    <t>河源市民保</t>
  </si>
  <si>
    <t>2020.11.17-2020.12.31</t>
  </si>
  <si>
    <t>乐卫玛（仑伐替尼）；泰圣奇（阿替利珠单抗）；欧狄沃(纳武利尤单抗);多泽润（达可替尼）；英飞凡（度伐利尤单抗）；赫赛莱（恩美曲妥珠单抗）；爱博新（哌柏西利）；可瑞达（帕博利珠单抗）；则乐（尼拉帕利）；费蒙格（地加瑞克）；拓益（特瑞普利单抗）；迈吉宁（曲美替尼）；泰菲乐（达拉非尼）；百泽安（替雷利珠单抗）；百悦泽（泽布替尼），安适利（维布妥昔单抗）；爱必妥（西妥昔单抗）；安加维（地舒单抗）；捷灵亚（芬戈莫德）；安吉优（维得利珠单抗）</t>
  </si>
  <si>
    <t>八大健康服务贴心陪伴守护：重大疾病早筛，药品咨询指导，预约送药上门，援助用药申请，海南博鳌乐城就医服务，临床试验申请，慢病折扣卡，特药直付服务</t>
  </si>
  <si>
    <t>中国人民财产保险股份有限公司河源市分公司，中国平安财产保险股份有限公司河源中心支公司</t>
  </si>
  <si>
    <t>中瑞万邦保险经纪有限公司</t>
  </si>
  <si>
    <t>河源市医疗保障局，河源市金融工作局，河源银保监分局</t>
  </si>
  <si>
    <t>0762-3294288</t>
  </si>
  <si>
    <t>深圳</t>
  </si>
  <si>
    <t>深圳重特大疾病补充医疗保险</t>
  </si>
  <si>
    <t>城市一帐通</t>
  </si>
  <si>
    <t>2015年</t>
  </si>
  <si>
    <t>2020.6.1-2020.6.30</t>
  </si>
  <si>
    <t>1万</t>
  </si>
  <si>
    <t>无限额</t>
  </si>
  <si>
    <t>13种</t>
  </si>
  <si>
    <r>
      <rPr>
        <sz val="10"/>
        <rFont val="等线"/>
        <charset val="134"/>
      </rPr>
      <t>波生坦片（全可利）、注射用英夫利西单抗（类克）、阿达木单抗注射液（修美乐）、注射用硼替佐米（万珂）、盐酸伊达比星胶囊（善唯达）、注射用盐酸伊达比星（艾诺宁）、氟维司群注射液（芙仕得）、盐酸阿来替尼胶囊（安圣莎）、帕博利珠单抗注射液（可瑞达）、奥拉帕利片（利普卓）、磷酸芦可替尼片（捷恪卫）、哌柏西利胶囊（爱博新</t>
    </r>
    <r>
      <rPr>
        <sz val="10"/>
        <rFont val="Arial"/>
        <charset val="134"/>
      </rPr>
      <t>®</t>
    </r>
    <r>
      <rPr>
        <sz val="10"/>
        <rFont val="方正书宋_GBK"/>
        <charset val="134"/>
      </rPr>
      <t>）、注射用醋酸兰瑞肽（索马杜林）。目前深圳基本医疗药品目录也涵盖了全可利、类克、修美乐、万珂、善唯达、艾诺宁、安圣莎、利普卓、捷恪卫，</t>
    </r>
  </si>
  <si>
    <t>0-15万</t>
  </si>
  <si>
    <t>个人账户划拨+企业统计申请+自己线上申请</t>
  </si>
  <si>
    <t>30元/年</t>
  </si>
  <si>
    <t>780万/1400万</t>
  </si>
  <si>
    <t>平安健康保险有限公司深圳分公司</t>
  </si>
  <si>
    <t>深圳专属医疗险</t>
  </si>
  <si>
    <t>参加医保除8类既往症</t>
  </si>
  <si>
    <t>300万（共用）</t>
  </si>
  <si>
    <t>13种+20种</t>
  </si>
  <si>
    <t>参保人可登录深圳市社会保险个人网上服务系统（https://sipub.sz.gov.cn/hspms/），点击重疾险参保查询即可查询参保状态，或关注“深圳人社”、“深圳社保”、“城市一账通”微信公众号，个人业务办理查询参保状态。</t>
  </si>
  <si>
    <t>一年期：365元，保证三年续保；六年期：1998元（平均333元/年）</t>
  </si>
  <si>
    <t>深圳市重特大疾病补充医疗保险特定药品补充责任，年免赔额1万元报销比例最高100%；医保目录外特定保险责任，年免赔额1万元，报销比例100%；质子重离子医疗保险责任，保额100万元，报销比例100%，免赔额0；恶性肿瘤放化疗关怀津贴保险金1万；
共用年保额300元（质子重离子责任最高100万元）</t>
  </si>
  <si>
    <t>华夏保险，太平洋保险，招商仁和人寿，中国人寿，太平养老，中意人寿，恒大人寿，中国平安，前海人寿，招商信诺，新华人寿，同方全球人寿，中国人保，泰康养老</t>
  </si>
  <si>
    <t>佛山</t>
  </si>
  <si>
    <t>平安佛医保</t>
  </si>
  <si>
    <t>2019.12.24-2019.12.23</t>
  </si>
  <si>
    <t>2.5万</t>
  </si>
  <si>
    <t>纳武利尤单抗注射液（欧狄沃）、盐酸多柔比星脂质体注射液（立幸）、甲磺酸仑伐替尼胶囊（乐卫玛）、甲磺酸伊马替尼片（格列卫）、帕博利珠单抗注射液（可瑞达）、来那度胺胶囊（瑞复美）、哌柏西利胶囊（爱博新）、特瑞普利单抗注射液（拓益）、注射用醋酸地加瑞克（费蒙格）、达雷妥尤单抗注射液（兆珂）、注射用紫杉醇（白蛋白结合型）（克艾力）、阿帕他胺片（安森珂）、注射用紫杉醇（白蛋白结合型）（艾越）、氟维司群注射液（芙仕得）、盐酸多柔比星脂质体注射液（多美素）</t>
  </si>
  <si>
    <t>1-15万</t>
  </si>
  <si>
    <t>60%，恶性肿瘤自费累计1万元以上，15以内，报销90%</t>
  </si>
  <si>
    <t>免赔2.5万，报销比60%；限额100万</t>
  </si>
  <si>
    <t>医保个人账户划扣参保+个人在线支付参保+团体（企业）参保</t>
  </si>
  <si>
    <t>185元/年</t>
  </si>
  <si>
    <t>96万/500万</t>
  </si>
  <si>
    <t>超高额医疗费用补偿，20万以上，50万以内部分报销90%</t>
  </si>
  <si>
    <t>平安养老保险股份有限公司广东分公司</t>
  </si>
  <si>
    <t>佛山市人民政府指导，佛山市医疗保障局和佛山市社会保险基金管理局</t>
  </si>
  <si>
    <t>0757-82280135，0757-83385389</t>
  </si>
  <si>
    <t>珠海</t>
  </si>
  <si>
    <t>珠海大爱无疆</t>
  </si>
  <si>
    <t>珠海社保</t>
  </si>
  <si>
    <t>截止2020.1.1</t>
  </si>
  <si>
    <t>90%（一万以上，三十万以内）</t>
  </si>
  <si>
    <t>纳武利尤单抗注射液（欧狄沃）、盐酸多柔比星脂质体注射液（立幸）、甲磺酸仑伐替尼胶囊（乐卫玛）、帕博利珠单抗注射液（可瑞达）、来那度胺胶囊（瑞复美）、哌柏西利胶囊（爱博新）、特瑞普利单抗注射液（拓益）、盐酸多柔比星脂质体注射液（多美素）、注射用醋酸地加瑞克（费蒙格）、达雷妥尤单抗注射液（兆珂）、注射用紫杉醇（白蛋白结合型）（艾越）、阿帕他胺片（安森珂）、达可替尼片（多泽润）、甲苯磺酸尼拉帕利胶囊（则乐）、度伐利尤单抗注射液（英飞凡）、替雷利珠单抗注射液（百泽安）、尼洛替尼胶囊（达希纳）、注射用恩美曲妥珠单抗（赫赛莱）、奥拉帕利片（利普卓）、阿替利珠单抗注射液（泰圣奇）、甲磺酸奥希替尼片（泰瑞沙）、甲磺酸达拉非尼胶囊（泰菲乐）、曲美替尼片（迈吉宁）</t>
  </si>
  <si>
    <t>1-30万</t>
  </si>
  <si>
    <t>个人账户划拨+自己线上申请+线下投保</t>
  </si>
  <si>
    <t>190元/年</t>
  </si>
  <si>
    <t>102万/600万</t>
  </si>
  <si>
    <t xml:space="preserve">投保年度内新确诊和复发的恶性肿瘤可各享受一次PET-CT检查项目补偿，报销比例为60%。对首次确诊10种重大疾病的参保人予以2万元现金补贴。
</t>
  </si>
  <si>
    <t>中国人寿保险股份有限公司珠海分公司</t>
  </si>
  <si>
    <t>珠海市医疗保障局官网，珠海市社会保险基金管理中心</t>
  </si>
  <si>
    <t>惠州</t>
  </si>
  <si>
    <t>惠州惠民保</t>
  </si>
  <si>
    <t>2020.1.1-2021.1.31</t>
  </si>
  <si>
    <t>达可替尼片（多泽润）、哌柏西利胶囊（爱博新）、氟维司群注射液（芙仕得）、注射用紫杉醇（白蛋白结合型）（克艾力）、甲磺酸仑伐替尼胶囊（乐卫玛）、阿帕他胺片（安森珂）、注射用盐酸苯达莫司汀（存达）、注射用卡瑞利珠单抗（艾瑞卡）、达雷妥尤单抗注射液（兆珂）、帕博利珠单抗注射液（可瑞达）、地舒单抗注射液（安加维）、安立生坦片（凡瑞克）、吸入用伊洛前列素溶液（万他维）、注射用醋酸兰瑞肽（索马杜林）、盐酸沙丙蝶呤片（科望）</t>
  </si>
  <si>
    <t>肿瘤疾病咨询，分级服务等9项服务</t>
  </si>
  <si>
    <t>中国太平洋财产保险股份有限公司惠州中心支公司</t>
  </si>
  <si>
    <t>95500-1-3-1</t>
  </si>
  <si>
    <t>东莞</t>
  </si>
  <si>
    <t>东莞市民保</t>
  </si>
  <si>
    <t>2020.8.21-2020.9.30</t>
  </si>
  <si>
    <t>参加医保不含特定4大类既往症</t>
  </si>
  <si>
    <t>80%，被保险人在2020年10月1日前激活国家医保电子凭证的，两项责任赔付比例升级为85%</t>
  </si>
  <si>
    <r>
      <rPr>
        <sz val="10"/>
        <rFont val="等线"/>
        <charset val="134"/>
      </rPr>
      <t>乐卫玛（仑伐替尼），泰圣奇（阿替利珠单抗），欧狄沃（纳武利尤单抗），英飞凡（度伐利尤单抗），赫赛莱（恩美</t>
    </r>
    <r>
      <rPr>
        <sz val="10"/>
        <rFont val="宋体"/>
        <charset val="134"/>
      </rPr>
      <t xml:space="preserve"> 曲妥珠单抗），海乐卫（艾立布林），安可坦（恩扎卢胺），则乐（尼拉帕利），百泽安（替雷利珠单抗），达希纳（尼洛替尼），迈吉宁（曲美替尼），泰菲乐（达拉非尼），兆珂（达雷妥尤单抗），爱必妥（西妥昔单抗），爱普盾（肿瘤电场治疗），安加维（地舒单抗），万赛维（缬更昔洛韦），瑞莫杜林（区前列尼尔），捷灵亚（芬戈莫徳），安吉优（维得利珠单抗）</t>
    </r>
  </si>
  <si>
    <t>预约送药上门，药品咨询指导，特药直付服务，癌症基因检测，海南博鳌乐城就医服务，援助用药申请，临床试验申请，重大疾病早筛</t>
  </si>
  <si>
    <t>中国人保财险东莞分公司</t>
  </si>
  <si>
    <t>上海镁信健康</t>
  </si>
  <si>
    <t>东莞市医疗保障局，东莞市金融工作局</t>
  </si>
  <si>
    <t>95518-2-5</t>
  </si>
  <si>
    <t>南粤全民保</t>
  </si>
  <si>
    <t>2020.10.1</t>
  </si>
  <si>
    <t>购买后次月生效</t>
  </si>
  <si>
    <t>不限期</t>
  </si>
  <si>
    <t>参加医保不含特定7大类既往症</t>
  </si>
  <si>
    <t>1万（共用）</t>
  </si>
  <si>
    <t>登录金管家-财富-健康-南粤全民保</t>
  </si>
  <si>
    <t>16-40岁，60元/年；41-45岁，195元/年；46-50岁，282元/年；51-55岁，410元；56-60岁，501元/年</t>
  </si>
  <si>
    <t>有医保但未经医保获得费用补偿的，扣除约定免赔额后，按照医保给付比例的60%给付保险金；其他商业保险纳入免赔</t>
  </si>
  <si>
    <t>平安科技</t>
  </si>
  <si>
    <t>云浮</t>
  </si>
  <si>
    <t>云浮惠民保</t>
  </si>
  <si>
    <t>2020.9.16</t>
  </si>
  <si>
    <t>截止2020.11.30</t>
  </si>
  <si>
    <t>参加医保不含5大既往症</t>
  </si>
  <si>
    <t>微信小程序</t>
  </si>
  <si>
    <t>16万</t>
  </si>
  <si>
    <t>药直付及配送、海南博鳌乐城就医、临床试验申请、癌症基因检测、慢病折扣卡等9项服务</t>
  </si>
  <si>
    <t>中国人民财产保险股份有限公司云浮市分公司</t>
  </si>
  <si>
    <t>上海镁信健康科技</t>
  </si>
  <si>
    <t>云浮市医疗保障局、云浮市金融工作局、云浮银保监分局</t>
  </si>
  <si>
    <t>0766－8878337</t>
  </si>
  <si>
    <t>茂名</t>
  </si>
  <si>
    <t>茂名市民保</t>
  </si>
  <si>
    <t>2020.10.31</t>
  </si>
  <si>
    <t>2020.10.30-2020.12.31</t>
  </si>
  <si>
    <t>乐卫玛（仑伐替尼）；泰圣奇(阿替利珠单抗)；欧狄沃（纳武利尤单抗）；多泽润（达可替尼）；英飞凡（度伐利尤单抗）；赫赛莱（恩美曲妥珠单抗）；爱博新（哌柏西利）；则乐（尼拉帕利）；费蒙格（地加瑞克）；安可坦（恩扎卢胺）；迈吉宁（曲美替尼）；泰菲乐（达拉非尼）；百泽安（泽布替尼）；百悦泽（泽布替尼）；安适利（维布妥昔单抗）；安必妥（西妥昔单抗），安加维（地舒单抗）；维达全（氯苯唑酸葡胺）；捷灵亚（芬戈莫德）；安吉优（维得利珠单抗）</t>
  </si>
  <si>
    <t>微信公众号或者微保-市民保专栏</t>
  </si>
  <si>
    <t>国内预约购药及配送服务，特药直付服务，慈善赠药申请指导服务 ，海南博鳌乐城就医服务，电话咨询服务，临床试验申请服务，慢病折扣卡，重大疾病早筛服务</t>
  </si>
  <si>
    <t>中国人民财产保险股份有限公司茂名市分公司和中国人民人寿保险股份有限公司茂名市分公司</t>
  </si>
  <si>
    <t>中瑞万邦保险经纪</t>
  </si>
  <si>
    <t>茂名市医疗保障局、茂名市民政局、茂名市金融工作局、中国银行保险监督管理委员会茂名监管分局</t>
  </si>
  <si>
    <t>0668-3395518</t>
  </si>
  <si>
    <t>湛江</t>
  </si>
  <si>
    <t>湛江市民保</t>
  </si>
  <si>
    <t xml:space="preserve">2020.11.9 </t>
  </si>
  <si>
    <t>2020.12.26-2021.12.25</t>
  </si>
  <si>
    <t>2020.11.9-2020.12.25</t>
  </si>
  <si>
    <t>乐卫玛(仑伐替尼);
泰圣奇(阿替利珠单抗);
欧狄沃(纳武利尤单抗);
多泽润(达可替尼);
英飞凡(度伐利尤单抗);
赫赛莱(恩美曲妥珠单抗);
爱博新(哌柏西利);
则乐(尼拉帕利); 
费蒙格(地加瑞克);
安可坦(恩扎卢胺);
迈吉宁(曲美替尼); 
泰菲乐(达拉非尼); 
百泽安(替雷利珠单抗); 
百悦泽(泽布替尼);
安适利(维布妥昔单抗);
爱必妥(西妥昔单抗);
安加维(地舒单抗);
维达全(氯苯唑酸葡胺);
捷灵亚(芬戈莫德);
安吉优(维得利珠单抗);</t>
  </si>
  <si>
    <t>40万</t>
  </si>
  <si>
    <t>湛江市医保局、湛江市民政局、湛江市银保监分局、湛江市金融局</t>
  </si>
  <si>
    <t>0759-2095518</t>
  </si>
  <si>
    <t>潮州</t>
  </si>
  <si>
    <t>潮州市民保</t>
  </si>
  <si>
    <t>2020.9.9-2020.10.31</t>
  </si>
  <si>
    <t>肝癌，肺癌，乳腺癌，前列腺癌，卵巢癌，淋巴癌，白血病，黑色素瘤，头颈癌，骨巨细胞癌，膀胱癌，多发性硬化，克罗恩病，食管癌等</t>
  </si>
  <si>
    <r>
      <rPr>
        <sz val="10"/>
        <rFont val="等线"/>
        <charset val="134"/>
      </rPr>
      <t>“</t>
    </r>
    <r>
      <rPr>
        <sz val="10"/>
        <rFont val="方正书宋_GBK"/>
        <charset val="134"/>
      </rPr>
      <t>潮州市民保</t>
    </r>
    <r>
      <rPr>
        <sz val="10"/>
        <rFont val="Arial"/>
        <charset val="134"/>
      </rPr>
      <t>”</t>
    </r>
    <r>
      <rPr>
        <sz val="10"/>
        <rFont val="方正书宋_GBK"/>
        <charset val="134"/>
      </rPr>
      <t>还为参保人提供国内预约购药及配送、特药直付、临床试验申请、癌症基因检测、重大疾病早筛等八大省心医药服务，在解决市民</t>
    </r>
    <r>
      <rPr>
        <sz val="10"/>
        <rFont val="Arial"/>
        <charset val="134"/>
      </rPr>
      <t>“</t>
    </r>
    <r>
      <rPr>
        <sz val="10"/>
        <rFont val="方正书宋_GBK"/>
        <charset val="134"/>
      </rPr>
      <t>看病贵</t>
    </r>
    <r>
      <rPr>
        <sz val="10"/>
        <rFont val="Arial"/>
        <charset val="134"/>
      </rPr>
      <t>”</t>
    </r>
    <r>
      <rPr>
        <sz val="10"/>
        <rFont val="方正书宋_GBK"/>
        <charset val="134"/>
      </rPr>
      <t>问题的同时也解决了</t>
    </r>
    <r>
      <rPr>
        <sz val="10"/>
        <rFont val="Arial"/>
        <charset val="134"/>
      </rPr>
      <t>“</t>
    </r>
    <r>
      <rPr>
        <sz val="10"/>
        <rFont val="方正书宋_GBK"/>
        <charset val="134"/>
      </rPr>
      <t>买药难</t>
    </r>
    <r>
      <rPr>
        <sz val="10"/>
        <rFont val="Arial"/>
        <charset val="134"/>
      </rPr>
      <t>”</t>
    </r>
    <r>
      <rPr>
        <sz val="10"/>
        <rFont val="方正书宋_GBK"/>
        <charset val="134"/>
      </rPr>
      <t>的问题，真正实现</t>
    </r>
    <r>
      <rPr>
        <sz val="10"/>
        <rFont val="Arial"/>
        <charset val="134"/>
      </rPr>
      <t>“</t>
    </r>
    <r>
      <rPr>
        <sz val="10"/>
        <rFont val="方正书宋_GBK"/>
        <charset val="134"/>
      </rPr>
      <t>全民可保、特药无忧</t>
    </r>
    <r>
      <rPr>
        <sz val="10"/>
        <rFont val="Arial"/>
        <charset val="134"/>
      </rPr>
      <t>”</t>
    </r>
    <r>
      <rPr>
        <sz val="10"/>
        <rFont val="方正书宋_GBK"/>
        <charset val="134"/>
      </rPr>
      <t>，为参保人带来实惠、安心和保障</t>
    </r>
  </si>
  <si>
    <t>中国人民财产保险股份有限公司潮州市分公司</t>
  </si>
  <si>
    <t>潮州市医保局，潮州市金融工作局</t>
  </si>
  <si>
    <t>0768-3272666</t>
  </si>
  <si>
    <t>揭阳</t>
  </si>
  <si>
    <t>揭阳市民保</t>
  </si>
  <si>
    <t>2020.11.2</t>
  </si>
  <si>
    <t>2020.11.2-2020.12.5</t>
  </si>
  <si>
    <t xml:space="preserve">乐卫玛(仑伐替尼);
泰圣奇(阿替利珠单抗);
欧狄沃(纳武利尤单抗);
多泽润(达可替尼);
英飞凡(度伐利尤单抗);
赫赛莱(恩美曲妥珠单抗);
爱博新(哌柏西利);
则乐(尼拉帕利); 
费蒙格(地加瑞克);
安可坦(恩扎卢胺);
迈吉宁(曲美替尼); 
泰菲乐(达拉非尼); 
百泽安(替雷利珠单抗); 
百悦泽(泽布替尼);
安适利(维布妥昔单抗);
爱必妥(西妥昔单抗);
安加维(地舒单抗);
维达全(氯苯唑酸葡胺);
捷灵亚(芬戈莫德);
安吉优(维得利珠单抗);
</t>
  </si>
  <si>
    <t>66元/年</t>
  </si>
  <si>
    <t>预约购药及配送服务，特药直付服务，援助用药申请 ，海南博鳌乐城就医服务，药品咨询服务，临床试验申请服务，慢病折扣卡，重大疾病早筛服务</t>
  </si>
  <si>
    <t>中国人财保险股份有限公司揭阳市分公司</t>
  </si>
  <si>
    <t>中瑞万邦保险经济</t>
  </si>
  <si>
    <t>揭阳市医保局，揭阳市金融工作局</t>
  </si>
  <si>
    <t>0663-8554321</t>
  </si>
  <si>
    <t>2020.11.2-2020.12.25</t>
  </si>
  <si>
    <t>参加医保除9种既往症</t>
  </si>
  <si>
    <t>乐卫玛（仑伐替尼）；泰圣奇（阿替利珠单抗）；欧狄沃（纳武利尤单抗）；多泽润（达可替尼）；英飞凡（度伐利尤单抗）；赫赛莱（恩美曲妥珠单抗）；爱博新（哌柏西利）；则乐（尼拉帕利）；费蒙格（地加瑞克）；安可坦（恩扎卢胺）；迈吉宁（曲美替尼）；泰菲乐（达拉非尼）；百泽安（替雷利珠单抗）；百悦泽（泽布替尼）；安适利（维布妥昔单抗）；爱必妥（西妥昔单抗）；安加维（地舒单抗）；维达全（氯苯唑酸葡胺）；捷灵亚（芬戈莫德）；安吉优（维得利珠单抗）</t>
  </si>
  <si>
    <t>国内预约购药及配送，特药直付，慈善赠药指导服务，海南博鳌乐城就医服务，电话咨询服务，临床试验申请服务，慢病折扣卡，重大疾病早筛</t>
  </si>
  <si>
    <t>中国人民财产保险股份有限公司揭阳市分公司</t>
  </si>
  <si>
    <t>医保局、市金融局、市卫健局、市财政局、市人社局、市政数局、市委网信办、市银保监局</t>
  </si>
  <si>
    <t>重庆</t>
  </si>
  <si>
    <t>渝惠保</t>
  </si>
  <si>
    <t>2020.11.6-2020.12.31</t>
  </si>
  <si>
    <t>参加医保除7种既往症</t>
  </si>
  <si>
    <t>多泽润（达可替尼片）；阿美乐（甲磺酸阿美替尼片）；泰圣奇（阿替利珠单抗注射液）；爱谱沙（西达本胺片）；爱博新（哌柏西利胶囊）；海乐卫（甲磺酸艾立布林注射液）；郝赛莱（注射用恩美曲妥珠单抗）；爱必妥（西妥昔单抗注射液）；乐卫玛（甲磺酸仑伐替尼胶囊）；艾瑞卡（注射用卡瑞利珠单抗）；百悦泽（泽布替尼胶囊）；百泽安（替雷利珠单抗注射液）；豪森昕福（甲磺酸氟马替尼片）；可瑞达（帕博利珠单抗注射液）；福可维（盐酸安罗替尼胶囊）</t>
  </si>
  <si>
    <r>
      <rPr>
        <sz val="10"/>
        <rFont val="等线"/>
        <charset val="134"/>
      </rPr>
      <t>6</t>
    </r>
    <r>
      <rPr>
        <sz val="10"/>
        <color indexed="8"/>
        <rFont val="宋体"/>
        <charset val="134"/>
      </rPr>
      <t>大增值服务：</t>
    </r>
    <r>
      <rPr>
        <sz val="10"/>
        <color indexed="8"/>
        <rFont val="Microsoft YaHei UI"/>
        <charset val="134"/>
      </rPr>
      <t>智能健康咨询、健康专栏、公益咨询问诊、疾病风险评估、慢病药品配送、用药提醒。</t>
    </r>
  </si>
  <si>
    <t>安诚财产保险股份有限公司</t>
  </si>
  <si>
    <t>重庆市医疗保障局，重庆市民政局</t>
  </si>
  <si>
    <t>95092055转5</t>
  </si>
  <si>
    <t>四川</t>
  </si>
  <si>
    <t>成都</t>
  </si>
  <si>
    <t>蓉惠保</t>
  </si>
  <si>
    <t>2020.5.7-2021.6.30</t>
  </si>
  <si>
    <r>
      <rPr>
        <sz val="10"/>
        <rFont val="等线"/>
        <charset val="134"/>
      </rPr>
      <t>甲磺酸阿美替尼片（阿美乐）、阿替利珠单抗注射液（秦圣奇）、（纳武利尤单抗注射液（欧狄沃）、注射用卡瑞利珠单抗（艾瑞卡）、西达本胺片（爱普沙）、哌柏西利胶囊（爱博新）、注射用紫杉醇（白蛋白结合型</t>
    </r>
    <r>
      <rPr>
        <sz val="10"/>
        <rFont val="Arial"/>
        <charset val="134"/>
      </rPr>
      <t>)</t>
    </r>
    <r>
      <rPr>
        <sz val="10"/>
        <rFont val="方正书宋_GBK"/>
        <charset val="134"/>
      </rPr>
      <t>（艾越）、甲磺酸艾立布林注射液（海乐卫）、阿帕他胺片（安森珂）、注射用替莫唑胺（艾尼妥）、注射用盐酸苯达莫司汀（乐唯欣）、替雷利珠单抗注射液（百泽安）、甲磺酸氟马替尼片（豪森昕福）、帕博利珠单抗注射液（可瑞达）、盐酸安罗替尼胶囊（福可维）、地舒单抗注射液（安加维）、安立生坦片（凡瑞克）、吸入用伊洛前列素溶液（万他维）、注射用醋酸兰瑞肽（索马杜林）、盐酸沙丙蝶呤片（科望）</t>
    </r>
  </si>
  <si>
    <t>310万/920万</t>
  </si>
  <si>
    <t>药品直付、药品配送等10项服务</t>
  </si>
  <si>
    <t>平安养老四川分公司，中华财险成都中心支公司，国宝人寿、太平养老四川分公司、中国人寿成都市分公司、人保财险成都市分公司、太保寿险成都中心支公司、中国大地保险四川分公司、锦泰保险成都分公司、泰康养老四川分公司</t>
  </si>
  <si>
    <t>四川省医疗保障局，成都市医疗保障局指导</t>
  </si>
  <si>
    <t>惠蓉保</t>
  </si>
  <si>
    <t>2020.5.7</t>
  </si>
  <si>
    <t>个人：2020.5.7-2020.6.30；企业：2020.5.7-2020.6.30</t>
  </si>
  <si>
    <t>2万（共用）上述两项责任之一或两项费用年度累计</t>
  </si>
  <si>
    <t>阿美乐（甲磺酸阿美替尼片）;泰圣奇（阿替利珠单抗注射液）；欧狄沃（纳武利尤单抗注射液）；艾瑞卡（注射用卡瑞利珠单抗）；爱谱沙（西达本胺片）；爱博新（哌柏西利胶囊）；艾越（注射用紫杉醇（白蛋白结合型））；海乐卫（甲磺酸艾立布林注射液）；安森珂（阿帕他胺片）；艾尼妥（注射用替莫唑胺）；乐唯欣（注射用盐酸苯达莫司汀）；百泽安（替雷利珠单抗注射液）；豪森昕福（甲磺酸氟马替尼片）；可瑞达（帕博利珠单抗注射液）；福可维（盐酸安罗替尼胶囊）；安加维（地舒单抗注射液）；凡瑞克（安立生坦片）；万他维（吸入用伊洛前列素溶液）；索马杜林（注射用醋酸兰瑞肽）；科望（盐酸沙丙蝶呤片）</t>
  </si>
  <si>
    <t>上述两项责任之一或两项费用年度累计</t>
  </si>
  <si>
    <t>平安养老，国宝人寿，太平养老，中华联合财险</t>
  </si>
  <si>
    <t>远通（北京）保险经纪有限公司，思派健康</t>
  </si>
  <si>
    <t>四川省医疗保障局和成都市医疗保障局</t>
  </si>
  <si>
    <t>自贡</t>
  </si>
  <si>
    <t>贡惠保</t>
  </si>
  <si>
    <t>2020.9.7-2020.10.31</t>
  </si>
  <si>
    <t>特罗凯（盐酸厄洛替尼片）；帕捷特（帕妥珠单抗注射液）；芙仕得（氟维司群注射液）；爱博新（哌柏西利胶囊）；亿珂（伊布替尼胶囊）；艾瑞卡（注射用卡瑞丽珠单抗）；拓益（特瑞普利单抗注射液）；可瑞达（帕博丽珠单抗注射液）；多吉美（甲苯磺酸索拉非尼片）；艾坦（甲磺酸阿帕替尼片）；晴可舒（醋酸阿比特龙片）；凡瑞克（安立生坦片）；泰欣生（尼妥珠单抗）；安加维（地舒单抗）；达希纳（尼洛替尼胶囊）</t>
  </si>
  <si>
    <t>药品预约购买及配送，用药咨询，援助用药申请指导，用药随访</t>
  </si>
  <si>
    <t>中国人寿保险股份有限公司自贡市分公司，中国人民财产保险股份有限公司自贡市分公司</t>
  </si>
  <si>
    <t>上海壹树医疗科技有限公司</t>
  </si>
  <si>
    <t>自贡市医保局</t>
  </si>
  <si>
    <t>0813-8223404，0813-8207513</t>
  </si>
  <si>
    <t>南充</t>
  </si>
  <si>
    <t>充惠保</t>
  </si>
  <si>
    <t>2021.4.1-2022.3.31</t>
  </si>
  <si>
    <t>2021.1.28-2021.4.1</t>
  </si>
  <si>
    <t>中国平安财险南充分公司，中国人民财产保险股份有限公司南充分公司，中国人寿保险股份南充分公司，中国太平洋财产保险股份南充分公司，锦泰财险</t>
  </si>
  <si>
    <t>南充市医保局，南充市银监分局</t>
  </si>
  <si>
    <t>400-159-7555转3</t>
  </si>
  <si>
    <t>德阳</t>
  </si>
  <si>
    <t>精诚健康</t>
  </si>
  <si>
    <t>2020.8.10-2021.8.9</t>
  </si>
  <si>
    <t>2020.6.9-2020.8.10</t>
  </si>
  <si>
    <t>57元/年</t>
  </si>
  <si>
    <t>名医指导、公立医院参与，8项健康服务惠民；慢病配送包含以下（厄贝沙坦片（高血压），苯磺酸氨氯地平片（高血压、冠心病），非洛地平缓释片（高血压，稳定性心绞痛），酒石酸美托洛尔片（高血压、心绞痛、心肌梗死、心律失常），硝苯地平缓释片（慢性稳定性心绞痛，原发性高血压），缬沙坦胶囊（轻高度高血压），苯磺酸左旋氨氯地平片（高血压，心绞痛），瑞舒伐他汀钙片（高血脂症），复方丹参片（活血化淤理气止痛、冠心病），辛伐他丁片（高胆固醇血症、冠心病），格列吡嗪片（轻中度2型糖尿病），格列齐特缓释片（2型糖尿病），格列美脲尿囊（2型糖尿病），二甲双胍格列美脲胶囊（2型糖尿病），盐酸二甲双胍缓释片（2型糖尿病））</t>
  </si>
  <si>
    <t>平安产险四川分公司</t>
  </si>
  <si>
    <t>德阳产投医药，德阳市第二人民医院体检中心</t>
  </si>
  <si>
    <t>4008-622-816</t>
  </si>
  <si>
    <t>德E保</t>
  </si>
  <si>
    <t>德E保A款</t>
  </si>
  <si>
    <t>2020.12.1</t>
  </si>
  <si>
    <t>2020.12.1-2020.12.31</t>
  </si>
  <si>
    <t>投保前未确诊100%；已确诊70%</t>
  </si>
  <si>
    <t>120万（共享）</t>
  </si>
  <si>
    <t>爱博新（哌柏西利胶囊）；
艾越（注射用紫杉醇（白蛋白结合型））；
海乐卫（甲磺酸艾立布林注射液）；
泰圣奇（阿替利珠单抗注射液）；
阿美乐（甲磺酸阿美替尼片）；
欧狄沃（纳武利尤单抗注射液）；
多泽润（达可替尼片）；
百泽安（替雷利珠单抗注射液）；
艾瑞卡（注射用卡瑞利珠单抗）；
乐唯欣（注射用盐酸苯达莫司汀）；
乐卫玛（甲磺酸仑伐替尼胶囊）；
迈吉宁（曲美替尼片）；
泰菲乐（达拉非尼）；
可瑞达（帕博利珠单抗注射液）；
拓益（特瑞普利单抗注射液）；
豪森昕福（甲磺酸氟马替尼片）；
安可坦（恩扎卢胺软胶囊）；
安森珂（阿帕他胺片）；
索马杜林（注射用醋酸兰瑞肽）；
万他维（吸入用伊洛前列素溶液）；</t>
  </si>
  <si>
    <t>药品直付，药品配送，处方咨询，用药咨询，慈善援助，患者教育</t>
  </si>
  <si>
    <t>中国人寿、中国人寿财险、中国太保寿险、中国太保财险、中国大地保险、中华财险、太平财险</t>
  </si>
  <si>
    <t>阳光保险经纪(上海)有限公司</t>
  </si>
  <si>
    <t>德阳市医疗保障局</t>
  </si>
  <si>
    <t>0838-2419063</t>
  </si>
  <si>
    <t>德E保B款</t>
  </si>
  <si>
    <t>2021.1.1-2021.12.32</t>
  </si>
  <si>
    <t>2020.12.1-2020.12.32</t>
  </si>
  <si>
    <t>40种</t>
  </si>
  <si>
    <t>利普卓（奥拉帕利片）；达伯舒（信迪利单抗注射液）；爱谱沙（西达本胺片）；福可维（盐酸安罗替尼胶囊）；达希纳（尼洛替尼胶囊）；泰瑞沙（甲磺酸奥希替尼片）；特罗凯（盐酸厄洛替尼）；帕捷特（帕妥珠单抗注射液）；亿珂（伊布替尼胶囊）；多吉美（甲苯磺酸索拉非尼片）；艾坦（甲磺酸阿帕替尼片）；赫赛汀（注射用曲妥珠单抗）；安维汀（贝伐珠单抗注射液）；安圣莎（盐酸阿来替尼胶囊）；爱博新（哌柏西利胶囊）；艾越（注射用紫衫醇（白蛋白结合型））；海乐卫（甲磺酸艾立布林注射液）；泰圣奇（阿替利珠单抗注射液）；阿美乐（甲磺酸阿美替尼片）；欧狄沃（纳武利尤单抗注射液）；多泽润（达可替尼片）；百泽安（替雷利珠单抗注射液）；艾瑞卡（注射用卡瑞利珠单抗）；乐唯欣（注射用盐酸苯达莫司汀）；乐卫玛（甲磺酸仑伐替尼胶囊）；迈吉宁（曲美替尼片）；泰菲乐（达拉非尼）；可瑞达（帕博利珠单抗注射液）；拓益（特瑞普利单抗注射液）；豪森昕福（甲磺酸氟马替尼片）；安可坦（恩扎卢胺软胶囊）；安森珂（阿帕他胺片）；兆珂（达雷妥尤单抗注射液）；艾尼妥（注射用替莫唑胺）；索马杜林（注射用醋酸兰瑞肽）；万立能（西尼莫德片）；万他维（吸入用伊洛前列素溶液）；英飞凡（度伐利尤单抗注射液）；科望（盐酸沙丙蝶吟片）；爱必妥（西妥昔单抗注射液）</t>
  </si>
  <si>
    <t>贵州</t>
  </si>
  <si>
    <t>贵阳</t>
  </si>
  <si>
    <t>贵保宝</t>
  </si>
  <si>
    <t>多惠保</t>
  </si>
  <si>
    <t>永安财产保险股份有限公司，华贵人寿保险股份有限公司，永诚财产保险股份有限公司</t>
  </si>
  <si>
    <t>平安医疗健康管理股份有限公司</t>
  </si>
  <si>
    <t>贵州省红十字基金会</t>
  </si>
  <si>
    <t>遵义</t>
  </si>
  <si>
    <t>遵惠保</t>
  </si>
  <si>
    <t>2020.10.1-2020.9.30</t>
  </si>
  <si>
    <t>2020.8.5-2020.9.30</t>
  </si>
  <si>
    <t>参加医保除4种既往症</t>
  </si>
  <si>
    <t>安立生坦片（泰舒乐），特瑞普利单抗（拓益），甲磺酸氟马替尼片（豪森昕福），注射用盐酸美法仑（迈维宁），注射用替莫唑胺（艾尼妥），注射用醋酸地加瑞克（费蒙格），甲磺酸阿美替尼片（阿美乐），注射用地西他滨（昕美），甲磺酸利拉帕利胶囊（则乐），达可替尼（多泽润），注射用紫杉醇（白蛋白结合型）（克艾力），替雷利珠单抗注射液（百泽安），达雷妥尤单抗注射液（兆珂），注射用盐酸苯达莫司汀（乐唯欣），仑伐替尼（乐卫玛）</t>
  </si>
  <si>
    <t>50元/年</t>
  </si>
  <si>
    <t>健康档案、专家在线咨询、重疾安排住院、健康资讯、自主预约挂号、重疾国内二次诊疗、AI疾病问答、健康问卷测评、OTC及处方</t>
  </si>
  <si>
    <t>平安养老保险股份有限公司贵州分公司</t>
  </si>
  <si>
    <t>遵义市金融工作办公室，遵义市医疗保障局</t>
  </si>
  <si>
    <t>福建</t>
  </si>
  <si>
    <t>福建省</t>
  </si>
  <si>
    <t>八闽保</t>
  </si>
  <si>
    <t>2020.9.22</t>
  </si>
  <si>
    <t>2020.9.22-2020.12.31</t>
  </si>
  <si>
    <t>多泽润（达可替尼）；泰圣奇（阿替利珠单抗）；阿美乐（甲磺酸阿美替尼片）；欧狄沃（纳武利尤单抗）；拓益（特瑞普利单抗）；泰菲乐（达拉非尼）；可瑞达（帕博利珠单抗）；迈吉宁（曲美替尼）；百泽安（替雷利珠单抗注射液）；艾瑞卡（卡瑞利珠单抗）；乐唯欣（注射用盐酸苯达莫司汀）；安森珂（阿帕他胺）；安可坦（恩扎卢胺）；费蒙格（注射用醋酸地加瑞克）；艾诺宁（注射用盐酸伊达比星）；豪森昕福（甲磺酸氟马替尼片）；兆珂（达雷妥尤单抗注射液）；迈维宁（注射用盐酸美法仑）；海乐卫（甲磺酸艾立布林）；克艾力（注射用紫杉醇（白蛋白结合型））；万立能（西尼莫德）；乐卫玛（仑伐替尼）；则乐（甲苯磺酸尼拉帕利胶囊）；艾尼妥（注射用替莫唑胺）；万他维（吸入用依洛前列素溶液）</t>
  </si>
  <si>
    <t>健康问卷，预约挂号，健康咨询，特药服务</t>
  </si>
  <si>
    <t>金融监督管理局、市医疗保障管理局、市农业农村局、市民政局、市大数据和政务服务管理局</t>
  </si>
  <si>
    <t>95511-#-6-5-4</t>
  </si>
  <si>
    <t>福州</t>
  </si>
  <si>
    <t>福惠保</t>
  </si>
  <si>
    <t>2020.7.31-2020.9.30</t>
  </si>
  <si>
    <t>26种</t>
  </si>
  <si>
    <t>阿美乐（阿美替尼）；泰圣奇（阿替丽珠单抗）；欧狄沃（纳武利尤单抗）；多泽润（达可替尼）；艾瑞卡（卡瑞丽珠单抗）；乐维欣（苯达莫司汀）；百泽安（替雷利珠单抗）；爱博新（哌柏西利）；海乐卫（艾立布林）；则乐（尼拉帕利）；可瑞达（帕博丽珠单抗）；拓益（特瑞普利单抗）；泰菲乐（达拉非尼）；迈吉宁（曲美替尼）；兆珂（达雷妥尤单抗）；迈维宁（美法仑）；安可坦（恩扎卢胺）；安森珂（阿帕他胺）；艾尼妥（替莫唑胺）；豪森昕福（福马替尼）；利卡汀（碘131美妥昔单抗）；安加维（地舒单抗）；凡瑞克（安立生坦）；万他维（伊前列素）；索马杜林（兰瑞肽）；科望（沙丙蝶呤）</t>
  </si>
  <si>
    <t>健康门诊挂号问询，健康体检，药品直付，药品配送，处方咨询，用药咨询，患者提醒及用药随访，慈善援助指导，患者用药不良反应监测等11种</t>
  </si>
  <si>
    <t>中国人民财产保险股份有限公司福州市分公司，众安在线财产保险股份有限公司</t>
  </si>
  <si>
    <t>中电（福建）健康管理有限公司，上海暖哇科技有限公司</t>
  </si>
  <si>
    <t>福州市卫生健康委员会，福州市医疗保障局</t>
  </si>
  <si>
    <t>榕城保</t>
  </si>
  <si>
    <t>多泽润（达可替尼）；泰圣奇（阿替丽珠单抗）；阿美乐（甲磺酸阿美替尼片）；欧狄沃（纳武利尤单抗）；拓益（特瑞普利单抗）;泰菲乐（达拉非尼）；可瑞达（帕博丽珠单抗）；迈吉宁（曲美替尼）；艾瑞卡（卡瑞丽珠单抗）；乐唯欣（注射用盐酸苯达莫司汀）；安森珂（阿帕他胺）；安可坦（恩扎卢胺）；费蒙格（注射用醋酸地加瑞克）；艾诺宁（注射用盐酸伊达比星）；豪森昕福（甲磺酸氟马替尼片）；兆珂（达雷妥尤单抗注射液）；迈维宁（注射用盐酸美法仑）；海乐卫（甲磺酸艾力布林）；克艾力（注射用紫杉醇）；万立能（西尼莫德）；乐卫玛（仑伐替尼）；则乐（甲苯磺酸尼拉帕利胶囊）；艾尼妥（注射用替莫唑胺）；万他维（吸入用伊洛前列素溶液）</t>
  </si>
  <si>
    <t>平安养老保险股份有限公司福建分公司</t>
  </si>
  <si>
    <t>福州市医疗保障局、福州市地方金融监督管理局</t>
  </si>
  <si>
    <t>厦门</t>
  </si>
  <si>
    <t>厦门惠民保</t>
  </si>
  <si>
    <t>2020.9.10</t>
  </si>
  <si>
    <t>25种癌症和罕见病</t>
  </si>
  <si>
    <t>豪森昕福（甲磺酸氟马替尼片）；
兆珂（达雷妥尤单抗）；
阿美乐（甲磺酸阿美替尼片）；
泰圣奇（阿替利珠单抗）；
可瑞达（帕博利珠单抗）；
乐卫玛（仑伐替尼）；
安加维（地舒单抗注射液）；
泰菲乐（达拉非尼）；
艾瑞卡（卡瑞利珠单抗）；
百泽安（替雷利珠单抗）；
则乐（甲苯磺酸尼拉帕利胶囊）；
朗斯费（典氟尿苷替匹嘧啶片）；
费蒙格（注射用醋酸地加瑞克）；
安森珂（阿帕他胺）；
海卫乐（甲磺酸艾立布林注射液）；
爱博新（哌柏西利）；
唯铭赞（依洛硫酸酯酶a）；
法布赞（注射用阿加糖酶）；
思而赞（注射用伊米苷酶）；
依必坦（依达拉奉氯化钠注射液）；
万他维（吸入用伊洛前列素溶液）；
凡瑞克（安立生坦片）；
维加特（乙磺酸尼达尼布软胶囊）；
捷灵亚（盐酸芬戈莫德胶囊）；
舒友立乐（艾美赛珠单抗注射液）</t>
  </si>
  <si>
    <t>70元/年</t>
  </si>
  <si>
    <t>健康咨询，健康档案，健康问卷测评，自助预约挂号，OTC药品</t>
  </si>
  <si>
    <t>平安养老保险股份有限公司厦门分公司</t>
  </si>
  <si>
    <t>平安健康互联网股份有限公司</t>
  </si>
  <si>
    <t>鹭惠保</t>
  </si>
  <si>
    <t>150万（共用）</t>
  </si>
  <si>
    <t>英飞凡（度伐利尤单抗）；泰圣奇（阿替利珠单抗）;阿美乐（甲磺酸阿美替尼片）;可瑞达（帕博利珠单抗注射液）;拓益（特瑞普利单抗注射液）;艾博定(克拉屈滨注射液);昕福(甲磺酸氟马替尼);瑞复美(来那度胺);乐卫玛(甲磺酸仑伐替尼胶囊)；思而赞(注射用伊米苷酶)；安加维(地舒单抗注射液)；兆珂(达雷妥尤单抗注射液)；艾瑞卡(卡瑞利珠单抗)；百悦泽(泽布替尼胶囊)；安适利(维布妥昔单抗)；百泽安(替雷利珠单抗)；则乐(尼拉帕利)；安可坦(恩扎卢胺)；芙仕得(氟维司群注射液）；爱必妥（西妥昔单抗注射液）</t>
  </si>
  <si>
    <t>60元/年</t>
  </si>
  <si>
    <t>用药指导，处方咨询，慈善赠药协助，患者随访，MDT会诊推荐，基因检测优惠，送药上门，新药用药申请，医学解答，药品直付</t>
  </si>
  <si>
    <t>中国人寿财产保险股份有限公司厦门分公司、中国大地财产保险股份有限公司、大家财产保险有限责任公司（厦门分公司）</t>
  </si>
  <si>
    <t>零氪科技（厦门）有限公司、北京量子保科有限公司</t>
  </si>
  <si>
    <t>厦门翔安区政府</t>
  </si>
  <si>
    <t>0592-5595519</t>
  </si>
  <si>
    <t>山东</t>
  </si>
  <si>
    <t>山东省</t>
  </si>
  <si>
    <t>齐鲁爱心保</t>
  </si>
  <si>
    <t>齐鲁保</t>
  </si>
  <si>
    <t>2021.2.1-2022.1.31</t>
  </si>
  <si>
    <t>参加医保不含12种既往症</t>
  </si>
  <si>
    <t>英飞凡（度伐利尤单抗）；泰圣奇（阿替利珠单抗）；泰瑞沙（甲磺酸奥西替尼片）；赫赛莱（注射用恩美曲妥珠单抗）；艾瑞卡（注射用卡瑞利珠单抗）；倍力腾（注射用贝利尤单抗）；维首（注射用阿扎胞苷）；乐唯欣（注射用盐酸苯达莫司汀）；类克（注射用英夫利西单抗）；欣普尼（戈利木单抗注射液）；索马杜林（注射用醋酸兰瑞肽）；可善挺（司库奇尤单抗注射液）；兆珂（达雷妥尤单抗）；恩瑞舒（阿巴西普）；阿美乐（甲磺酸阿美替尼）</t>
  </si>
  <si>
    <t>0-60周岁（含）每年仅需69元，60周岁（不含）以上仅需129元</t>
  </si>
  <si>
    <t>漱玉平民购药优惠券、医生线上咨询、疾病风险评估、预约挂号、智能导诊、健康讲堂、免费心理测评等。购买保险后</t>
  </si>
  <si>
    <t>全国人力资本产业公共服务平台</t>
  </si>
  <si>
    <t>山东省民政厅、济南高新区管委会、山东省青年联合会、山东省慈善总会</t>
  </si>
  <si>
    <t>山东民生保</t>
  </si>
  <si>
    <t>山东民生综合保险</t>
  </si>
  <si>
    <t>2020.12.31-2021.12.30</t>
  </si>
  <si>
    <t>参加医保不含5种既往症</t>
  </si>
  <si>
    <t>拓益（特瑞普利单抗注射液，苏州众合生物），则乐（甲苯磺酸尼拉帕利胶囊，再鼎），泽珂（醋酸阿比特龙片，西安杨森）；乐卫玛（甲磺酸仑伐替尼胶囊，Patheon,Inc加拿大）  ； 爱博新（哌柏西利胶囊，美国辉瑞制药）   ；爱优特（呋喹替尼胶囊，和记黄埔医药（苏州）有限公司）；艾尼妥（卡瑞利珠单抗，恒瑞）；亿珂（伊布替尼胶囊，美国CatalentCTSLLC）；万珂（注射用硼替佐米，西安杨森）；索坦（苹果酸舒尼替尼胶囊，美国辉瑞）；齐普乐（硼替佐米，齐鲁制药）；泰欣生（尼妥珠单抗注射液，百泰生物药业）；英立达（阿西替尼片，美国辉瑞）；艾坦（甲磺酸阿帕替尼片，江苏恒瑞医药）；多泽润（达可替尼片，美国辉瑞）</t>
  </si>
  <si>
    <t>39元、59元或99元</t>
  </si>
  <si>
    <t>山东民生保是由阳光保险经纪(上海)有限公司联合永安财险、天安财险、长安财险、安华农业保险、中路财险</t>
  </si>
  <si>
    <t>阳光保险经纪（上海）有限公司</t>
  </si>
  <si>
    <t>山东保险行业协会</t>
  </si>
  <si>
    <t>鲁惠保</t>
  </si>
  <si>
    <t>2020.9.30</t>
  </si>
  <si>
    <t>截止2020.9.30</t>
  </si>
  <si>
    <t>65元漱玉平民购药优惠券、医生线上咨询、疾病风险评估、预约挂号、智能导诊、健康讲堂、免费心理测评</t>
  </si>
  <si>
    <t>泰山保险</t>
  </si>
  <si>
    <t>山东顺能网络科技有限公司</t>
  </si>
  <si>
    <t>共青团山东省委、山东省慈善总会、青少年发展基金会</t>
  </si>
  <si>
    <t>40060-77777</t>
  </si>
  <si>
    <t>淄博</t>
  </si>
  <si>
    <t>淄博齐惠保</t>
  </si>
  <si>
    <t>2020.11.25-2021.11.24</t>
  </si>
  <si>
    <t>2020.9.25-2020.11.24</t>
  </si>
  <si>
    <t>乐卫玛（仓伐替尼）；泰圣奇（阿替丽珠单抗）；欧狄沃（纳武利尤单抗）；舒友利乐（艾美赛珠单抗）；安森珂（阿帕他胺片）；爱博新（哌柏西利）；则乐（尼拉帕利）；兆珂（达雷拓尤单抗）；百泽安（替雷利珠单抗）；英飞凡（度伐利尤单抗）；安加维（地舒单抗）；赫塞莱（恩美曲妥珠单抗）；善唯达（注射用盐酸伊达比星）；艾尼妥（注射用替莫唑胺）；泰菲乐（甲磺酸达拉非尼）；迈吉宁（曲美替尼）</t>
  </si>
  <si>
    <t>太平洋人寿、中国人寿、国寿财险、人保财险、太平洋财险、平安养老、太平洋养老、中华财险、华夏人寿、泰山财险、泰康养老、亚太财险12家</t>
  </si>
  <si>
    <t>淄博市医疗保障局指导，淄博市银保监局监督</t>
  </si>
  <si>
    <t>0533-3053000</t>
  </si>
  <si>
    <t>烟台</t>
  </si>
  <si>
    <t>烟惠保</t>
  </si>
  <si>
    <t>2020.11.7-2021.1.31</t>
  </si>
  <si>
    <t>参加医保所有人员</t>
  </si>
  <si>
    <t>多泽润（达可替尼片）；泰圣奇（阿替利珠单抗注射液）；爱博新（哌柏西利胶囊）；海乐卫（甲磺酸艾力布林注射液）；赫赛莱（注射用恩美曲妥珠单抗）；艾瑞卡（注射用卡瑞利珠单抗）；乐卫玛（甲磺酸仑伐替尼胶囊）；百泽安（替雷利珠单抗注射液）；百悦泽（泽布替尼胶囊）；爱必妥（西妥昔单抗注射液）；艾尼妥（注射用替莫唑胺）；拓益（特瑞普利单抗）；可瑞达（帕博利珠单抗）；万丽能（西尼莫德片）；凡瑞克（安立生坦片）</t>
  </si>
  <si>
    <t>肿瘤早筛服务，肿瘤咨询服务，分诊服务，患者用药关怀，慈善援助指导，</t>
  </si>
  <si>
    <t>烟台市总工会，烟台市地方金融监督局，烟台市民政局，烟台市保险行业协会</t>
  </si>
  <si>
    <t>烟台银保监分局</t>
  </si>
  <si>
    <t>4000013666-1</t>
  </si>
  <si>
    <t>烟台惠民保</t>
  </si>
  <si>
    <t xml:space="preserve">2020.11.5 </t>
  </si>
  <si>
    <t>2020.11.5-2020.12.31</t>
  </si>
  <si>
    <t>快速住院（1次/年），专家门诊（1次/年），专业陪诊（1次/年），专家手术（1次/年），电话远程问诊（1次/年），二次诊疗（1次/年），检查加急（1次/年）</t>
  </si>
  <si>
    <t>新一站保险代理股份有限公司</t>
  </si>
  <si>
    <t>95522-3</t>
  </si>
  <si>
    <t>济南</t>
  </si>
  <si>
    <t>山东医保大健康</t>
  </si>
  <si>
    <t>2020.10.24-2020.12.31</t>
  </si>
  <si>
    <t>欧狄沃（纳武利尤单抗）；豪森昕福（氟马替尼）；赫赛莱（恩美曲妥珠单抗);兆珂（达雷妥尤单抗）；百泽安（替雷利珠单抗）；安可坦（恩扎卢胺)；泰圣奇（阿替利珠单抗）；迈吉宁（曲美替尼）；安加维（地舒单抗）；泰菲乐（达拉非尼）；乐卫玛（仑伐替尼）；凡瑞克（安立生坦）；则乐（尼拉帕尼）；索马杜林（醋酸兰瑞肽）；立幸（盐酸多柔比星脂质体）</t>
  </si>
  <si>
    <t>太平养老、人保健康、人保财险、中国人寿、国寿财险、太保财险、太保人寿、平安养老、太平财险、太平人寿、阳光财险、德华安顾、亚太财险</t>
  </si>
  <si>
    <t>山东省医保局、济南市医保局</t>
  </si>
  <si>
    <t>95589-5</t>
  </si>
  <si>
    <t>宁夏</t>
  </si>
  <si>
    <t>银川</t>
  </si>
  <si>
    <t>宁惠保</t>
  </si>
  <si>
    <t>2020.11.16-2021.11.15</t>
  </si>
  <si>
    <t>2020.9.3-2020.11.15</t>
  </si>
  <si>
    <t>参加医保除5种+2种既往症</t>
  </si>
  <si>
    <t>2万（共计）</t>
  </si>
  <si>
    <t>纳武单抗（欧狄沃），特瑞普利单抗注射液（拓益），西妥昔单抗注射液（爱必妥），甲磺酸氟马替尼（昕福），尼拉帕利（则乐），氟维司群注射液（芙仕得），注射用醋酸地加瑞克（费蒙格），注射用替莫唑胺（艾尼妥），注射用盐酸苯达莫司汀（乐唯欣），吸入用伊洛前列素溶液（万他维），芬戈莫德（捷灵亚），乌司奴单抗（喜达诺），盐酸沙丙蝶呤片（科望），拉布立海（法舒克），地舒单抗注射液（安加维）</t>
  </si>
  <si>
    <t>药品直付，送药上门，处方咨询，用药指导，患者用药随访，新特药咨询，慈善援助指导，MDT多学科会诊推荐，基因监测折扣优惠，医学解答</t>
  </si>
  <si>
    <t>中国人寿财险股份有限公司银川中心支公司</t>
  </si>
  <si>
    <t>北京量子慧康科技有限公司</t>
  </si>
  <si>
    <t>银川市西夏区人民政府、银川市卫健委联合指导</t>
  </si>
  <si>
    <t>0951-8883810</t>
  </si>
  <si>
    <t>湖南</t>
  </si>
  <si>
    <t>长沙</t>
  </si>
  <si>
    <t>星惠保</t>
  </si>
  <si>
    <t>2020.9.1-2020.8.31</t>
  </si>
  <si>
    <t>免赔2万，报销比80%；限额100万</t>
  </si>
  <si>
    <t>50岁及以下48元/年50岁以上138元/年</t>
  </si>
  <si>
    <t>泰康养老湖南分公司</t>
  </si>
  <si>
    <t>湖南省医疗保障局、长沙市医疗保障局指导，湖南省保险行业协会指导</t>
  </si>
  <si>
    <t>0731-85220261</t>
  </si>
  <si>
    <t>长沙民生保</t>
  </si>
  <si>
    <t>2020.10.25</t>
  </si>
  <si>
    <t>2020.10.25-2020.12.15</t>
  </si>
  <si>
    <t>赫赛莱（恩美曲妥珠单抗T-DM1）
泰菲乐（达拉非尼）；
迈吉宁（曲美替尼）；
安加维（地舒单抗注射液）；
安可坦（恩扎卢胺）；
拓益（特瑞普利单抗注射液）；
豪森昕福（甲磺酸氟马替尼片）；
科望（盐酸沙丙蝶呤片）；
瑞百安（依洛尤单抗注射液）；
百泽安（替雷利珠单抗）；
爱博新（哌柏西利胶囊）；</t>
  </si>
  <si>
    <t>100万元</t>
  </si>
  <si>
    <t>在线问诊，AMC智能问诊，风险测评，体检报告解读</t>
  </si>
  <si>
    <t>中国平安财产保险股份有限公司湖南分公司</t>
  </si>
  <si>
    <t>湖南省卫健委、湖南省民政厅、湖南省金融监督管理局、医疗保障局</t>
  </si>
  <si>
    <t>湖南省</t>
  </si>
  <si>
    <t>全民保</t>
  </si>
  <si>
    <t>湖南全民保</t>
  </si>
  <si>
    <t>2020.9.23</t>
  </si>
  <si>
    <t>2020.9.23-2020.11.30</t>
  </si>
  <si>
    <t>参加医保不含特定5大类既往症</t>
  </si>
  <si>
    <t>2万（长沙医保参保人为2.5万元</t>
  </si>
  <si>
    <t xml:space="preserve">纳武利尤单抗（欧狄沃）
 阿替利珠单（泰圣奇）
 达可替尼（多泽润）
度伐利尤单抗（英飞凡）
哌柏西 利（爱博新）
恩美曲妥珠单抗（赫赛莱）
艾立布林（海乐卫）
尼拉帕利（则乐）
恩扎卢胺（安可坦）
替雷利珠单抗（百泽安）
尼洛替尼（达希纳）
曲美替尼（迈吉宁）
达拉非尼（泰菲乐）
西妥昔单抗（爱必妥）
肿瘤电场治疗（爱普盾）
</t>
  </si>
  <si>
    <t>1.重大疾病早筛服务
2.药品咨询指导
3、预约送药上门
4、援助用药申请
5、海南博鳌乐城就医服务
6、临床试验申请服务
7、癌症基因检测服务
8、慢病服务 - 康付卡</t>
  </si>
  <si>
    <t>2万（长沙基本医保参保人2.5万）</t>
  </si>
  <si>
    <t xml:space="preserve">欧狄沃（纳武利尤单抗）；
泰圣奇（阿替利珠单抗）；
多泽润（达可替尼）；
英飞凡（度伐利尤单抗）；
爱博新（哌柏西利）；
赫赛莱（恩美曲妥珠单抗）；
海乐卫（艾立布林）；
则乐（尼拉帕利）；
安可坦（恩扎卢胺）；
百泽安（替雷利珠单抗）；
达希纳（尼洛替尼）；
迈吉宁（曲美替尼）； 
泰菲乐（达拉非尼）； 
爱必妥（西妥昔单抗）；
爱普盾（肿瘤电场治疗）；
</t>
  </si>
  <si>
    <t>新发患者80%；既往患者10%</t>
  </si>
  <si>
    <t>支付宝搜索或者微信公众号</t>
  </si>
  <si>
    <t>49元/人</t>
  </si>
  <si>
    <t>中国太平洋财产保险股份有限公司湖南分公司主承保，中国太平洋人寿保险股份有限公司湖南分公司</t>
  </si>
  <si>
    <t>省金融局、省医保局、银保监会湖南监管局、省卫健委</t>
  </si>
  <si>
    <t>95188-9</t>
  </si>
  <si>
    <t>邵阳</t>
  </si>
  <si>
    <t>邵阳惠民保</t>
  </si>
  <si>
    <t xml:space="preserve">吉祥人寿 </t>
  </si>
  <si>
    <t>2020.12.31</t>
  </si>
  <si>
    <t>爱必妥（西妥昔单抗注射液,，默克）；兆珂（达雷妥尤单抗，Cilag AG）；泰立沙（甲苯磺酸拉帕替尼片，葛兰素史克）；赫赛莱（恩美曲妥珠单抗 T-DM1，罗氏制药）;豪森昕福（甲磺酸氟马替尼片，江苏豪森药业）；欧狄沃（纳武利尤单抗注射液，施贵宝）；拓益（特瑞普利单抗注射液，君实）；百泽安（替雷利珠单抗，百济神州）；英飞凡（度伐利尤单抗，阿斯利康）；艾瑞卡（注射用卡瑞利珠单抗，恒瑞）；爱博新（哌柏西利胶囊，辉瑞）；安森珂（阿帕卢胺，杨森）；安可坦（恩扎卢胺，Astellas Pharma）;泰菲乐（甲磺酸达拉非尼胶囊，诺华制药）；迈吉宁（曲美替尼片，诺华制药）；则乐（尼拉帕利，再鼎医药）；海乐卫（甲磺酸艾立布林，卫材）；安加维（地舒单抗注射液，安进）；维加特（乙磺酸尼达尼布软胶囊，Catalent）；瑞百安（依洛尤单抗注射液,安进）</t>
  </si>
  <si>
    <t>吉祥人寿与健康服务</t>
  </si>
  <si>
    <t>湖南财信金控集团</t>
  </si>
  <si>
    <t>益阳</t>
  </si>
  <si>
    <t>益惠保</t>
  </si>
  <si>
    <t>暂未发布</t>
  </si>
  <si>
    <t>中华联合财产</t>
  </si>
  <si>
    <t>广州轻松集团</t>
  </si>
  <si>
    <t>常德</t>
  </si>
  <si>
    <t>湘惠保</t>
  </si>
  <si>
    <t>截止2021.1.31</t>
  </si>
  <si>
    <t>参加医保除多种既往症</t>
  </si>
  <si>
    <t>19种</t>
  </si>
  <si>
    <t>欧狄沃（纳武利尤单抗，施贵宝）；泰圣奇（阿替利珠单抗，罗氏）；多泽润（达可替尼，辉瑞）；英飞凡（度伐利尤单抗，阿斯利康），爱博新（哌柏西利，辉瑞）；帕捷特（帕妥珠单抗注射液，罗氏）；泰立沙（甲苯磺酸拉帕替尼片，葛兰素）；则乐（尼拉帕利，再鼎）；安可坦（恩扎卢胺，安斯泰来/辉瑞）；百泽安（替雷利珠单抗，百济神州）；迈吉安（曲美替尼，诺华）；拓益（特瑞普利单抗注射，苏州众合）；捷恪卫（磷酸卢可替尼片，诺华）；乐卫玛（甲磺酸仑伐替尼，卫材）；艾瑞卡（卡瑞利珠单抗，恒瑞）；达伯舒（信迪利单抗，信达生物）；可瑞达（帕博利珠单抗，默沙东）；塞可瑞（克唑替尼，辉瑞）；百悦泽（泽布替尼，百济神州）</t>
  </si>
  <si>
    <t>28天-50岁：48元  51-70岁：138元/年</t>
  </si>
  <si>
    <t>慢病购药优惠，妙健康生活方式评估，妙健康健康干预计划，电话医生服务，重大疾病就医全程陪诊服务，湖南省内重疾门诊专家安排，重大疾病国内专家二次会诊，MDT多科学会诊</t>
  </si>
  <si>
    <t>太平财险，太平人寿，富德生命人寿，大地财险，泰康养老</t>
  </si>
  <si>
    <t>湖南众美健康数据科技，上海同仁保险经纪</t>
  </si>
  <si>
    <t>400-1058-555</t>
  </si>
  <si>
    <t>株洲</t>
  </si>
  <si>
    <t>神农保</t>
  </si>
  <si>
    <t>2020.10.27</t>
  </si>
  <si>
    <t>豪森昕福（甲磺酸氟马替尼片）；
维达莎（注射用阿扎胞苷）；
迈维宁（注射用盐酸美法仑）；
安显（来那度胺）；
阿美乐（甲磺酸阿美替尼片）；
欧狄沃（纳武利尤单抗）；
拓益（特瑞普利单抗）；
可瑞达（帕博利珠单抗）；
朗斯氟（曲氟尿苷替匹嘧啶）
百泽安（替雷利珠单抗注射液）；
艾瑞卡（卡瑞利珠单抗）；
艾尼妥（注射用替莫唑胺）；
安森珂（阿帕他胺）；
艾越（注射用紫杉醇（白蛋白结合型））；
爱博新（哌西利）；
海乐卫（甲磺酸艾立布林注射液）；
捷灵亚（盐酸芬戈莫德胶囊）；
维加特（乙磺酸尼达尼布软胶囊）；
万他维（吸入用伊洛前列素溶液）；
索马杜林（注射用醋酸兰瑞肽）；
舒友立乐（艾美赛珠单抗注射液）；
乐卫玛（仑伐替尼）；</t>
  </si>
  <si>
    <t>78元/年</t>
  </si>
  <si>
    <t>河北</t>
  </si>
  <si>
    <t>河北省</t>
  </si>
  <si>
    <t>冀惠保</t>
  </si>
  <si>
    <t>2020.11.1</t>
  </si>
  <si>
    <t>2020.11.9-2021.1.10</t>
  </si>
  <si>
    <t>纳武利尤单抗（欧狄沃）；度伐利尤单抗（英飞凡）；恩美曲妥珠单抗（赫赛莱）；甲磺酸艾立布林（海乐卫）；尼拉帕利（则乐）；恩扎卢胺（安可坦）；阿帕他胺（安森珂）；替雷利珠单抗（百泽安）；注射用卡瑞丽珠单抗（艾瑞卡）；甲磺酸氟马替尼片（豪森昕福）；甲磺酸达拉非尼（泰菲乐）；曲美替尼（迈吉宁）；西妥昔单抗（爱必妥）；地舒单抗注射液（安加维）；达雷妥尤单抗（兆珂）；注射用盐酸美法仑（迈维宁）；盐酸多柔比星脂质体注射液（多美素）；盐酸沙丙蝶呤片（科望）；注射用替莫唑胺（艾尼妥）；注射用醋酸兰瑞肽（索马杜林）</t>
  </si>
  <si>
    <t>50岁以下59元/年，50岁以上99元/年</t>
  </si>
  <si>
    <t>中国人寿财产保险股份有限公司河北省分公司，中国人民财产保险股份有限公司河北省分公司</t>
  </si>
  <si>
    <t>北京圆心惠保科技有限公司</t>
  </si>
  <si>
    <t>河北省医保局，河北省健康卫生委员会，河北省总工会，河北省地方金融监督委员会，河北省保险行业委员会</t>
  </si>
  <si>
    <t>95519转2</t>
  </si>
  <si>
    <t>山西</t>
  </si>
  <si>
    <t>山西省</t>
  </si>
  <si>
    <t>晋惠保</t>
  </si>
  <si>
    <t>2020.9.29</t>
  </si>
  <si>
    <t>2020.9.29-2020.11.30</t>
  </si>
  <si>
    <t>参加医保不含特定12大类既往症</t>
  </si>
  <si>
    <t>泰圣奇；欧狄沃；百泽安；迈吉宁；泰菲乐；安森珂；爱博新；安可坦；海乐卫；则乐；安加维；阿美乐；豪森昕福；英飞凡；爱必妥；拓益；多美素；维加特</t>
  </si>
  <si>
    <t>微信公众号和抖音APP搜索晋惠保</t>
  </si>
  <si>
    <t>送药上门，特药直服服务，癌症基因检测折扣代金券服务（16800代金券6000元折扣，体检服务，慈善赠药申请指导服务，海南博鳌乐城海外药品就医门诊绿色通道</t>
  </si>
  <si>
    <t>中国人民财产保险股份有限公司承保，北京华夏保险经纪有限公司提供销售及代收保费服务</t>
  </si>
  <si>
    <t>北京圆心惠保科技有限公司提供特药和健康管理服务</t>
  </si>
  <si>
    <t>河南</t>
  </si>
  <si>
    <t>河南省</t>
  </si>
  <si>
    <t>豫健保</t>
  </si>
  <si>
    <t>2021.2.19</t>
  </si>
  <si>
    <t>2021.1.1-2021.12.31或2021.3.1-2022.2.28</t>
  </si>
  <si>
    <t>2020.11.17-2021.2.19</t>
  </si>
  <si>
    <t>参加医保不含4类重大疾病</t>
  </si>
  <si>
    <t>哌柏西利胶囊、阿帕他胺片、注射用卡瑞利珠单抗、甲磺酸氟马替尼片 、甲磺酸仑伐替尼胶囊 、甲苯磺酸尼拉帕利 、替雷利珠单抗、达可替尼片、度伐利尤单抗注射液、达雷妥尤单抗注射液、环硅酸钠锆、帕博利珠单抗注射液、恩美曲妥珠单抗注射液 、阿替利珠单抗注射液、特瑞普利单抗</t>
  </si>
  <si>
    <t>50周岁（含）以下69元/年，50岁以上169元/年</t>
  </si>
  <si>
    <t>中原农业保险股份有限公司</t>
  </si>
  <si>
    <t>400-66-56789</t>
  </si>
  <si>
    <t>焦作</t>
  </si>
  <si>
    <t>焦作惠民保</t>
  </si>
  <si>
    <t>即日起至2021.1.31</t>
  </si>
  <si>
    <t>参加医保不含3类重疾</t>
  </si>
  <si>
    <t>关爱服务（健康资讯，健康档案，健康问卷测评）；就医服务（自助预约挂号）；药品服务（OTC药品服务）</t>
  </si>
  <si>
    <t>焦作市金融工作局，焦作市医疗保障局</t>
  </si>
  <si>
    <t>0319-3666500或者95511转6</t>
  </si>
  <si>
    <t>洛阳</t>
  </si>
  <si>
    <t>中原农业险订阅号</t>
  </si>
  <si>
    <t>2020.9.24</t>
  </si>
  <si>
    <t>2020.12.15-2021.12.14</t>
  </si>
  <si>
    <t>2020.9.24-2020.12.7</t>
  </si>
  <si>
    <t>城镇职工2万；城乡居民8000</t>
  </si>
  <si>
    <t>城镇：80%；城乡：8000-30000报销50%，30000以上报销80%</t>
  </si>
  <si>
    <t>爱博新（哌西利胶囊）；
安森珂（阿帕他胺）；
艾瑞卡（卡瑞利珠单抗）；
豪森昕福（甲磺酸氟马替尼片）；
乐卫玛（甲磺酸仑伐替尼胶囊）；
则乐（甲苯磺酸尼拉帕利胶囊）；
百泽安（替雷利珠单抗注射液）；
多泽润（达可替尼片）；
英飞凡（度伐利尤单抗注射液）；
兆珂（达雷妥尤单抗注射液）；
利倍卓（环硅酸钠锆）；
可瑞达（帕博利珠单抗注射液）；
赫赛莱（注射用恩美曲妥珠单抗）
泰圣奇（阿替利珠单抗注射液）；
拓益（特瑞普利单抗）；</t>
  </si>
  <si>
    <t>微保</t>
  </si>
  <si>
    <t>中原农业保险股份</t>
  </si>
  <si>
    <t>许昌</t>
  </si>
  <si>
    <t>豫健保许昌</t>
  </si>
  <si>
    <t>2020.9.15</t>
  </si>
  <si>
    <t>2020.9.15-2020.12.7</t>
  </si>
  <si>
    <t>100元/年</t>
  </si>
  <si>
    <t>中原农业保险股份有限公司许昌分公司</t>
  </si>
  <si>
    <t>许昌市医疗保障局，许昌市金融工作局</t>
  </si>
  <si>
    <t>医保局金融局</t>
  </si>
  <si>
    <t>湖北</t>
  </si>
  <si>
    <t>湖北省</t>
  </si>
  <si>
    <t>360城惠保</t>
  </si>
  <si>
    <t>泰圣奇（阿替利珠单抗）；英飞凡（度伐利尤单抗）；赫赛莱（恩美曲妥珠单抗）；则乐（尼拉帕利）；安森珂（阿帕他胺）；可瑞达（帕博利珠单抗）；百泽安（替雷利珠单抗注射液）；百悦泽（泽布替尼）；达希纳（尼洛替尼）；安适利（维布妥昔单抗）；艾瑞卡（卡瑞丽珠单抗）；安加维（地舒单抗）；海乐卫（甲磺酸艾力布林注射液）；安吉优（维得利珠单抗）；凡瑞克（安立生坦片）</t>
  </si>
  <si>
    <t>0-17岁：19元；18-60岁；39元；61岁以上199元</t>
  </si>
  <si>
    <t>用药申请合理性审核；慈善赠药申请指导；最优用药路径规划；药房端直付；药事咨询；药品配送</t>
  </si>
  <si>
    <t>泰康在线，中国人寿财险，众安财产在线，永诚财产，中华联合财产，众惠财产</t>
  </si>
  <si>
    <t>众康永道</t>
  </si>
  <si>
    <t>海南</t>
  </si>
  <si>
    <t>海南省</t>
  </si>
  <si>
    <t>海南乐城特药险</t>
  </si>
  <si>
    <t>乐城特药</t>
  </si>
  <si>
    <t>2020.8.2-2020.9.3（个人）/2020.8.2.-2020.8.31（企业）</t>
  </si>
  <si>
    <t>参加医保及海南省户籍人员、海南省身份证持有人（身份证号46开头）</t>
  </si>
  <si>
    <t>60%，最高100%</t>
  </si>
  <si>
    <t>无免赔额，对于符合保险条款约定的特定药品费用，国内外药品赔付最高100%</t>
  </si>
  <si>
    <t>70种（21种国内上市药品+49种国外上市药品）</t>
  </si>
  <si>
    <t>21种国内特药:西妥昔单抗(爱必妥);达雷妥尤单抗(兆珂);阿帕他胺(安森珂);替雷利珠单抗(百泽安);地舒单抗(安加维);泽布替尼(百悦泽);帕博利珠单抗(可瑞达);注射用紫杉醇(白蛋白结合型）(克艾力);尼拉帕利(则乐);哌柏西利(爱博新);达可替尼(多泽润);仑伐替尼(乐卫玛);艾立布林(海乐卫);度伐利尤单抗(英飞凡);卡瑞利珠单抗(艾瑞卡);恩美曲妥珠单抗(赫赛莱);阿替利珠单抗(泰圣奇);达拉非尼(泰菲乐);曲美替尼(迈吉宁);依洛硫酸酯酶α(唯铭赞);沙丙蝶呤(科望);49种国外特药:丙卡巴肼(盐酸丙卡巴肼胶囊)；Fam-trastuzumab deruxtecan-nxki（Enhertu）；Enhertu（Orpathys）；Selumetinib（Koselugo）；Acalabrutinib（Calquence）；Venetoclax（Venclexta）；talimogene laherparepvec（Imlygic）；Gilteritinib（Xospata）；伊匹单抗（Ipilimumab）；纳武利尤单抗（Nivolumab Injection）；帕博利珠单抗注射液（可瑞达）；Inotuzumab Ozogamicin（Besponsa）；
Gemtuzumab Ozogamicin （Mylotarg）；Glasdegib（Daurismo）；Lorlatinib（Lorbrena）；Talazoparib（Talzenna）；Alpelisib（Piqray）；Ribociclib（Kisqali）；Capmatinib（Tabrecta）；Ofatumumab（Arzerra）；Polatuzumab Vedotin（Polivy）；Entrectinib（Rozlytrek）；Brigatinib（Alunbrig）；Erdafitinib Tablet（Balversa）；
Ripretinib （QinLock）；注射用恩美曲妥珠单抗（赫赛莱）；阿替利珠单抗注射液（泰圣奇）；Durvalumab（IMFINZI）；Olaparib（Lynparza）；甲磺酸达拉非尼（泰菲乐）；曲美替尼（迈吉宁）；甲磺酸达拉非尼+曲美替尼（泰菲乐+迈吉宁）；塞瑞替尼（赞可达）；尼洛替尼（达希纳）；甲磺酸仑伐替尼胶囊（乐卫玛）；阿帕他胺片（安森珂）；达雷妥尤单抗注射液（兆珂）；甲磺酸艾立布林注射液（海乐卫）；伊布替尼胶囊（亿珂）；Binimetinib（Mektovi）；Blincyto（Blinatumomab）；耐昔妥珠单抗（Necitumumab, PORTRAZZA）；雷莫芦单抗（Ramucirumab,Cyramza）；Lartruvo（olaratumab）；Idelalisib（Zydelig）；二氯化镭223（Xofigo）；替伊莫单抗（Zevalin，ibritumomab tiuxetan）；卡博替尼（Cabozantinib, Cometriq）；阿仑单抗（alemtuzumab, Lemtrada）；氟法拉滨（Clofarabine）</t>
  </si>
  <si>
    <t>最高100%</t>
  </si>
  <si>
    <t>0免赔额，报销100%；限额100万</t>
  </si>
  <si>
    <t>29元/年</t>
  </si>
  <si>
    <t>中国人寿财险</t>
  </si>
  <si>
    <t>海南惠琼保（A款）</t>
  </si>
  <si>
    <t>海南惠琼保</t>
  </si>
  <si>
    <t>2020.10.30</t>
  </si>
  <si>
    <t>2020.10.20-2021.1.31</t>
  </si>
  <si>
    <t>110万</t>
  </si>
  <si>
    <t>平安好福利APP或微信公众号</t>
  </si>
  <si>
    <t>健康资讯，健康档案，健康问卷测评，自助预约挂号，OTC药品服务</t>
  </si>
  <si>
    <t>中国人民保险，中国平安，中国人寿，太平洋保险</t>
  </si>
  <si>
    <t>中国银行保险监督管理委员会，海南省医疗保障局</t>
  </si>
  <si>
    <t>02160668999转0898转4</t>
  </si>
  <si>
    <t>海南惠琼保（B款）</t>
  </si>
  <si>
    <t>2020.10.20</t>
  </si>
  <si>
    <t>广西</t>
  </si>
  <si>
    <t>广西省</t>
  </si>
  <si>
    <t>惠桂保</t>
  </si>
  <si>
    <t>2020.9.1-2020.10.31</t>
  </si>
  <si>
    <t>2万（共享）</t>
  </si>
  <si>
    <t>80%（未经医保备案异地就医赔付40%）</t>
  </si>
  <si>
    <t>100万元住院医疗保险金，100万元高发疾病住院医疗保险金</t>
  </si>
  <si>
    <t>无明确特药目录</t>
  </si>
  <si>
    <t>免赔2万，报销比80%</t>
  </si>
  <si>
    <t>39周岁（含）以下  46元/人/年
40-59周岁    66元/人/年
60周岁（含）以上  96元/人/年</t>
  </si>
  <si>
    <t>国富人寿保险股份有限公司</t>
  </si>
  <si>
    <t>轻松集团</t>
  </si>
  <si>
    <t>广西壮族自治区地方金融局、广西壮族自治区扶贫开发办公室、南宁市卫生健康委员会、广西投资集团、广西日报传媒集团、广西保险行业协会、广西职工保障互助协会（指导单位）</t>
  </si>
  <si>
    <t>冯女士18800175689</t>
  </si>
  <si>
    <t>桂林</t>
  </si>
  <si>
    <t>桂林惠民保</t>
  </si>
  <si>
    <t>阿替利珠单抗（泰圣奇）；甲磺酸阿美替尼片（阿美乐）；替雷利珠单抗注射液（百泽安）；特瑞普利单抗（拓益）；甲磺酸氟马替尼片（豪森昕福）；地舒单抗（安加维）；注射用紫杉醇（白蛋白结合型）（艾越）；阿帕他胺（安森珂）；卡瑞利珠单抗（艾瑞卡）；注射用替莫唑胺（艾尼妥）；注射用盐酸苯达莫司汀（乐唯欣）；帕博利珠单抗（可瑞达）；仑伐替尼（乐卫玛）；纳武利尤单抗（欧狄沃）；达可替尼（多泽润）</t>
  </si>
  <si>
    <t>平安养老保险股份有限公司广西分公司</t>
  </si>
  <si>
    <t>广西柳州医药股份有限公司（桂中大药房）</t>
  </si>
  <si>
    <t>桂宁市医疗保障局指导</t>
  </si>
  <si>
    <t>0773-8993926</t>
  </si>
  <si>
    <t>云南</t>
  </si>
  <si>
    <t>昆明</t>
  </si>
  <si>
    <t>春城惠民保</t>
  </si>
  <si>
    <t>2021.1.28</t>
  </si>
  <si>
    <t>2021.1.28-2021.3.31</t>
  </si>
  <si>
    <t>无既往症</t>
  </si>
  <si>
    <t>多泽润（达可替尼片）；泰圣奇（阿替利珠单抗注射液）；英飞凡（度伐利尤单抗注射液）；贝美纳（盐酸恩莎替尼胶囊）；爱博新（哌柏西利胶囊）；海乐卫（甲磺酸艾力布林注射液）；赫赛莱（注射用恩美曲妥珠单抗）；欧狄沃（纳武利尤单抗注射液）；可瑞达（帕博利珠单抗注射液）；艾瑞颐（氟唑帕利胶囊）；唯可来（维奈克拉片）；乐唯欣（注射用盐酸苯达莫斯汀）；宜诺凯（奥布替尼片）；爱必妥（西妥昔单抗注射液）；艾尼妥（注射用替莫唑胺）</t>
  </si>
  <si>
    <t>无恶性肿瘤既往症：80%；有恶性肿瘤既往症：0%</t>
  </si>
  <si>
    <t>肿瘤早筛；肿瘤资讯；分诊就医；患者用药关怀；慈善援助指导</t>
  </si>
  <si>
    <t>大地财险，平安养老，中国人保，中国人寿，太平洋人寿，太平洋财险，诚泰财险</t>
  </si>
  <si>
    <t>昆明市医疗保险局</t>
  </si>
  <si>
    <t>400-001-3666-1</t>
  </si>
  <si>
    <t>辽宁</t>
  </si>
  <si>
    <t>大连</t>
  </si>
  <si>
    <t>大连工惠保</t>
  </si>
  <si>
    <t>大连工惠保A</t>
  </si>
  <si>
    <t>2020.10.16</t>
  </si>
  <si>
    <t>2020.10.16-2020.12.25</t>
  </si>
  <si>
    <t>参加医保不含4类既往症</t>
  </si>
  <si>
    <t>修美乐；
泰圣奇
则乐
阿美乐
豪森昕福
艾瑞卡
乐卫玛
欧狄沃
百泽安
依必坦
乐唯欣
艾越
英飞凡
喜达诺
傲朴舒</t>
  </si>
  <si>
    <t>85元/年</t>
  </si>
  <si>
    <t>AI问答，健康资讯，健康档案，肿瘤筛查问卷，OTC及处方药，自助预约挂号</t>
  </si>
  <si>
    <t>平安养老保险股份有限公司大连分公司</t>
  </si>
  <si>
    <t>大连市总工会</t>
  </si>
  <si>
    <t>0411-39666229</t>
  </si>
  <si>
    <t>大连工惠保C</t>
  </si>
  <si>
    <t>215元/年</t>
  </si>
  <si>
    <t>锦州</t>
  </si>
  <si>
    <t>惠锦保</t>
  </si>
  <si>
    <t>2020.11.5</t>
  </si>
  <si>
    <r>
      <rPr>
        <sz val="10"/>
        <rFont val="等线"/>
        <charset val="134"/>
      </rPr>
      <t>中国太平洋财产保险股份有限公司辽宁分公司</t>
    </r>
    <r>
      <rPr>
        <sz val="10"/>
        <color indexed="63"/>
        <rFont val="Arial"/>
        <charset val="134"/>
      </rPr>
      <t>、中华联合财产保险股份有限公司辽宁分公司</t>
    </r>
  </si>
  <si>
    <t>上海硅文科技有限公司，睿安保险经纪有限公司</t>
  </si>
  <si>
    <t>锦州市政府</t>
  </si>
  <si>
    <t>沈阳</t>
  </si>
  <si>
    <t>沈阳全民保</t>
  </si>
  <si>
    <t>2020.9.16-2020.10.31</t>
  </si>
  <si>
    <t>接受上海质子重离子医院检查后，2万</t>
  </si>
  <si>
    <t>赞可达（塞瑞替尼胶囊）；
洛瑞特（盐酸厄洛替尼片）；
帕捷特（帕妥珠单抗注射液）；
爱博新（哌柏西利胶囊）；
海乐卫（甲磺酸艾立布林注射液）；
艾瑞卡（注射用卡瑞利珠单抗）；
可瑞达（帕博利珠单抗注射液）；
泰菲乐（甲磺酸达拉非尼胶囊）；
迈吉宁（曲美替尼片）；
晴可舒（醋酸阿比特龙片）；
达希纳（尼洛替尼胶囊）；
泰欣生（尼妥珠单抗注射液）；
安加维（地舒单抗注射液）；
飞尼妥（依维莫司片）；
安显（来那度胺胶囊）；</t>
  </si>
  <si>
    <t>融盛财产保险股份有限公司</t>
  </si>
  <si>
    <t>上海壹树医疗科技有限公司和腾讯微</t>
  </si>
  <si>
    <t>辽宁省地方金融监督管理局，辽宁省保险行业协会，辽宁省社会组织发展促进会</t>
  </si>
  <si>
    <t>400-955-6789</t>
  </si>
  <si>
    <t>上海</t>
  </si>
  <si>
    <t>E保无忧（商业保险）</t>
  </si>
  <si>
    <t>中国太平，太平洋，NCI新华保险，建信人寿，泰康养老，中国人寿，平安养老保险，平安健康保险，PICC中国人民保险</t>
  </si>
  <si>
    <t>中国银行保险信息技术管理有限公司上海分公司</t>
  </si>
  <si>
    <t>2026记录时间、状态</t>
  </si>
  <si>
    <t>区域</t>
  </si>
  <si>
    <t>CSMI基本信息</t>
  </si>
  <si>
    <t>参保情况</t>
  </si>
  <si>
    <t>目录外住院费用保障</t>
  </si>
  <si>
    <t>记录时间、状态</t>
  </si>
  <si>
    <t>状态</t>
  </si>
  <si>
    <t>LMA区域</t>
  </si>
  <si>
    <t>保险名称</t>
  </si>
  <si>
    <t>发售月份</t>
  </si>
  <si>
    <t>初次发布年份</t>
  </si>
  <si>
    <t>投保期间（起）</t>
  </si>
  <si>
    <t>投保期间（止）</t>
  </si>
  <si>
    <t>保障开始月份</t>
  </si>
  <si>
    <t>保障期间（起）</t>
  </si>
  <si>
    <t>保障期间（止）</t>
  </si>
  <si>
    <t>保费
（元/年）</t>
  </si>
  <si>
    <t>是否放开个账</t>
  </si>
  <si>
    <t>是否新市民可保</t>
  </si>
  <si>
    <t>报销结算方式</t>
  </si>
  <si>
    <r>
      <rPr>
        <b/>
        <sz val="8"/>
        <color rgb="FF000000"/>
        <rFont val="Microsoft YaHei UI Light"/>
        <charset val="134"/>
      </rPr>
      <t xml:space="preserve">可参保人群-医保参保人口/常住人口- </t>
    </r>
    <r>
      <rPr>
        <b/>
        <sz val="8"/>
        <color rgb="FFFF0000"/>
        <rFont val="Microsoft YaHei UI Light"/>
        <charset val="134"/>
      </rPr>
      <t>红色为去重</t>
    </r>
  </si>
  <si>
    <t>估计参保人数（万）</t>
  </si>
  <si>
    <t>参保人数的统计时间（截至何日）</t>
  </si>
  <si>
    <t>目前参保率</t>
  </si>
  <si>
    <t>目前赔付率
（2022.11开始统计）</t>
  </si>
  <si>
    <t>备注
（累计赔付金额、理赔项目数等）</t>
  </si>
  <si>
    <t>是否有</t>
  </si>
  <si>
    <t>相关待遇项目类别</t>
  </si>
  <si>
    <t>起付线/年</t>
  </si>
  <si>
    <t>报销比例</t>
  </si>
  <si>
    <t>封顶线/年</t>
  </si>
  <si>
    <t>既往症赔付</t>
  </si>
  <si>
    <t>住院自费药责任是否有额外白名单/负面清单</t>
  </si>
  <si>
    <t>X药是否可报销</t>
  </si>
  <si>
    <t>备注</t>
  </si>
  <si>
    <t>2026AP1</t>
  </si>
  <si>
    <t>新发布</t>
  </si>
  <si>
    <t>北区</t>
  </si>
  <si>
    <t>甘肃</t>
  </si>
  <si>
    <t>武威</t>
  </si>
  <si>
    <t>天马医惠保</t>
  </si>
  <si>
    <t>2025.11.15</t>
  </si>
  <si>
    <t>2025.12.31</t>
  </si>
  <si>
    <t>2026.1.1</t>
  </si>
  <si>
    <t>2026.12.31</t>
  </si>
  <si>
    <t>基础版69，升级版99</t>
  </si>
  <si>
    <t>否</t>
  </si>
  <si>
    <t>报销</t>
  </si>
  <si>
    <t>是</t>
  </si>
  <si>
    <t>个人自费住院医疗费用</t>
  </si>
  <si>
    <t>基础版：1.5w；升级版：1w</t>
  </si>
  <si>
    <t>基础版：健康体：1.5-2w可报25%，2-5w可报30%，5w+可报35%；既往症可报25%；升级版：健康体：1.5-2w可报30%，2-5w可报35%，5w+可报40%；既往症可报25%；</t>
  </si>
  <si>
    <t>续保</t>
  </si>
  <si>
    <t>西区</t>
  </si>
  <si>
    <t>攀枝花</t>
  </si>
  <si>
    <t>花城保</t>
  </si>
  <si>
    <t>2024.11.27</t>
  </si>
  <si>
    <t>医保范围外全自费住院医疗费用</t>
  </si>
  <si>
    <t>1.3万</t>
  </si>
  <si>
    <t>200万/三个保障共享</t>
  </si>
  <si>
    <t>肿瘤否，罕见病是</t>
  </si>
  <si>
    <t>门特可报。 恶性肿瘤（含白血病、淋巴瘤）、脑梗死、脑出血既往症不可赔付。其他病种费用可报销</t>
  </si>
  <si>
    <t>南区</t>
  </si>
  <si>
    <t>钦州</t>
  </si>
  <si>
    <t>钦惠保</t>
  </si>
  <si>
    <t>2025.11.21</t>
  </si>
  <si>
    <t>2026.1.31</t>
  </si>
  <si>
    <t>2026.12.30</t>
  </si>
  <si>
    <t>普惠版：非续保79；续保75；团单（≥5人）75 | 尊享版：非续保129；续保125；团单（≥5人）125</t>
  </si>
  <si>
    <t>一站式</t>
  </si>
  <si>
    <t>医保范围外住院医疗费用</t>
  </si>
  <si>
    <t>非既往症：1-10万可报15%，10-20万可报25%，20万以上可报40%；既往症可报10%</t>
  </si>
  <si>
    <t>LMA南区</t>
  </si>
  <si>
    <t>东莞市民保——莞康无忧</t>
  </si>
  <si>
    <t>2025.11.27</t>
  </si>
  <si>
    <t>2024.11.12</t>
  </si>
  <si>
    <t>/</t>
  </si>
  <si>
    <t>LMA西区</t>
  </si>
  <si>
    <t>新疆</t>
  </si>
  <si>
    <t>兵团惠民保</t>
  </si>
  <si>
    <t>2025.12.1</t>
  </si>
  <si>
    <t>2026.4.30</t>
  </si>
  <si>
    <t>基础版99，升级版139</t>
  </si>
  <si>
    <t>目录外住院医疗费用保险金</t>
  </si>
  <si>
    <t>基础版：14000，升级版12000</t>
  </si>
  <si>
    <t>基础版：非既往症可报50%，既往症可报20%；升级版：非既往症可报60%，既往症可报20%</t>
  </si>
  <si>
    <t>医保外住院可用</t>
  </si>
  <si>
    <t>中区</t>
  </si>
  <si>
    <t>LMA中区</t>
  </si>
  <si>
    <t>随时可购买</t>
  </si>
  <si>
    <t>随时（单位/工会投保后次日）</t>
  </si>
  <si>
    <t>60岁以下68/60岁以上168</t>
  </si>
  <si>
    <t>NA</t>
  </si>
  <si>
    <t>社保外住院医疗保险金（含门特）</t>
  </si>
  <si>
    <t>非既往症80%异地就医70%，既往症40%异地30%未备案20%</t>
  </si>
  <si>
    <t>门特可报，医保外同一自费药品，同一保单年度限额10万</t>
  </si>
  <si>
    <t>69/99/169</t>
  </si>
  <si>
    <t>2022.12.20</t>
  </si>
  <si>
    <t>　</t>
  </si>
  <si>
    <t>是，仅169元版本</t>
  </si>
  <si>
    <t>住院医疗费用（基本医疗保险乙类个人自负部分、基本医疗保险目录范围外）</t>
  </si>
  <si>
    <t>单次住院报销药品费限20万，其他及材料费限20万</t>
  </si>
  <si>
    <t>广安</t>
  </si>
  <si>
    <t>广安e惠保</t>
  </si>
  <si>
    <t>2025.12.4</t>
  </si>
  <si>
    <t>2026.2.10</t>
  </si>
  <si>
    <t>0-60周岁：69元；60以上（含）：99元</t>
  </si>
  <si>
    <t>2023.3.3</t>
  </si>
  <si>
    <t>2024.11.1 ，累计赔付3084人，赔款1870万元</t>
  </si>
  <si>
    <t>医保目录外住院医疗全自费费用（含参照住院报销的门诊费用）</t>
  </si>
  <si>
    <t>非既往症可报20%，既往症可报15%</t>
  </si>
  <si>
    <t>门特可报</t>
  </si>
  <si>
    <t>枣庄</t>
  </si>
  <si>
    <t>枣惠保</t>
  </si>
  <si>
    <t>2025.12.06</t>
  </si>
  <si>
    <t>69
未成年49；50岁以上99；既往症159，困难人群10</t>
  </si>
  <si>
    <t>累计赔付&gt;6400w；2024赔付957.04w；累积参保超140万人次</t>
  </si>
  <si>
    <t>住院医保统筹范围外费用保障</t>
  </si>
  <si>
    <t>1.5-10万可报15%，10万以上可报30%</t>
  </si>
  <si>
    <t>荆州</t>
  </si>
  <si>
    <t>荆州惠民保</t>
  </si>
  <si>
    <t>2026.2.28</t>
  </si>
  <si>
    <t>一站式+零星理赔</t>
  </si>
  <si>
    <t>截至2025年6月30日累计赔付3587万元</t>
  </si>
  <si>
    <t>医保范围外住院自费部分（含门特不含门慢）</t>
  </si>
  <si>
    <t>非既往症70%，既往症30%</t>
  </si>
  <si>
    <t>部分中药饮片和药材，不予支付的中药饮片和药材负面清单：膏方费用以及以下主要起滋补保健用途以及含国家珍贵、濒危野生动植物药材的药品和中药饮片不纳入荆州惠民保保障范围，具体包括：阿胶、白糖参、红参、朝鲜红参、穿山甲（醋山甲、炮山甲）、玳瑠、冬虫夏草、蜂蜜、狗宝、龟鹿二仙胶、蛤蟆油、海龙、海马、猴枣、酒制蜂胶、羚羊角、羚羊角尖粉（羚羊角镑片、羚羊角粉）、鹿茸（鹿茸粉、鹿茸片）、马宝、玛瑙、牛黄（天然牛黄）、珊瑚、麝香、天山雪莲、鲜石斛（铁皮石斛）、西红花（番红花）、西洋参、血竭、燕窝、野山参、移山参、珍珠、紫河车、各种动物脏器（鸡内金除外）和胎、鞭、尾、筋、骨。
注：以上所列药品均包括生药及炮制后的药材及饮片</t>
  </si>
  <si>
    <t>滨州</t>
  </si>
  <si>
    <t>滨州医惠保</t>
  </si>
  <si>
    <t>2026.1.26</t>
  </si>
  <si>
    <t>累积守护260w人，累积报销1.82亿元</t>
  </si>
  <si>
    <t>医保范围外住院自费部分</t>
  </si>
  <si>
    <t>0.8万</t>
  </si>
  <si>
    <t>0.8-2w可报10%，2-20万可报40%，20万以上可报60%</t>
  </si>
  <si>
    <t>有负面清单（保健品，中药）</t>
  </si>
  <si>
    <t>住院：个人自付+全额自费：门特：乙类个人自付+全自费。不含普通门诊，不含其他责任范围内费用。</t>
  </si>
  <si>
    <t>益康保</t>
  </si>
  <si>
    <t>2025.12.10</t>
  </si>
  <si>
    <t>2026.3.31 在以上参保期外，2026年出生的新生儿及当年转业军人等特殊群体可中途参保。</t>
  </si>
  <si>
    <t>2026.12.31 中途参保的，保障期自医保生效之日起至2026.12.31日</t>
  </si>
  <si>
    <t>未成年50，成年人100</t>
  </si>
  <si>
    <t>一站式＋零星报销</t>
  </si>
  <si>
    <t>截至2025年11月，累积赔付11.35亿元</t>
  </si>
  <si>
    <t>医保定点医院住院或门特治疗期间发生的符合医保的超限价的自费费用及目录外合理治疗的符合清单的费用</t>
  </si>
  <si>
    <t>1-3万10%，3-5万20%，5万以上50%</t>
  </si>
  <si>
    <t>有白名单</t>
  </si>
  <si>
    <t>清远</t>
  </si>
  <si>
    <t>清远惠民保</t>
  </si>
  <si>
    <t>2026.2.8</t>
  </si>
  <si>
    <t>截至2025.10.31累计赔付1.56亿元</t>
  </si>
  <si>
    <t>不属于社会医疗保险药品目录限制支付范围的药品费用，社会医疗保险目录外且不属于负面清单的药品和检验检查费用。</t>
  </si>
  <si>
    <t>60岁以下40%，60岁（含）以上20%，既往症不赔付</t>
  </si>
  <si>
    <t>有负面清单，膏方费用，滋补保健，中药饮片，保健品。医疗咨询费，中风预测，健康预测，预防接种等费用。</t>
  </si>
  <si>
    <t>保险期间内，被保险人经医院诊断并接受住院，发生需要使用的合规药品费用（仅限医院内购药）和检验检查费用（仅限医院内检查）中，个人按照规定比例先自付的药品和检验检查费用、超社会医疗保险限额标准的药品和检验检查费用、不属于社会医疗保险药品目录限制支付范围的药品费用、社会医疗保险目录外且不属于负面清单的药品和检验检查费用。</t>
  </si>
  <si>
    <t>黄石</t>
  </si>
  <si>
    <t>黄石石惠保</t>
  </si>
  <si>
    <t>2025.12.18</t>
  </si>
  <si>
    <t>2026.3.31</t>
  </si>
  <si>
    <t>2026.1.1（or自缴费之日起）</t>
  </si>
  <si>
    <t>在医保定点医疗机构因住院发生的医保目录外自费费用。</t>
  </si>
  <si>
    <t>有负面清单营养滋补作用的中草药。以美容，减肥为保健功能的药品。</t>
  </si>
  <si>
    <t>巴中</t>
  </si>
  <si>
    <t>巴惠保</t>
  </si>
  <si>
    <t>2025.12.17</t>
  </si>
  <si>
    <t>2026.2.29</t>
  </si>
  <si>
    <t>基础版59，优享版89</t>
  </si>
  <si>
    <t>是，仅优享版</t>
  </si>
  <si>
    <t>基本医疗保险定点医疗机构发生的住院医疗费用，经医保报销后，应由个人支付的乙类先行自付费用，自费费用，超限价费用。</t>
  </si>
  <si>
    <t>非既往症1万。既往症1.5万</t>
  </si>
  <si>
    <t>市内:非既往症30%，既往症10%</t>
  </si>
  <si>
    <t>有负面清单：中药，保健品</t>
  </si>
  <si>
    <t>柳州</t>
  </si>
  <si>
    <t>柳州惠民保</t>
  </si>
  <si>
    <t>2026.1.15</t>
  </si>
  <si>
    <t>2026.1.16</t>
  </si>
  <si>
    <t>2027.1.15</t>
  </si>
  <si>
    <t>累积赔付4797w，累积参保76w</t>
  </si>
  <si>
    <t>医保目录外住院医疗费用（不含特药）</t>
  </si>
  <si>
    <t>非既往症20%，既往症10%</t>
  </si>
  <si>
    <t>含家庭病房、急诊留观、日间治疗</t>
  </si>
  <si>
    <t>东区</t>
  </si>
  <si>
    <t>LMA东区</t>
  </si>
  <si>
    <t>中原住院补充医疗保险</t>
  </si>
  <si>
    <t>随时</t>
  </si>
  <si>
    <t>次月或隔月生效</t>
  </si>
  <si>
    <t>生效后一年</t>
  </si>
  <si>
    <t>69/99/139/199</t>
  </si>
  <si>
    <t>2022.8.2</t>
  </si>
  <si>
    <t>累积14w人，赔付350w</t>
  </si>
  <si>
    <t>医保外住院费用</t>
  </si>
  <si>
    <t>2025.12.15</t>
  </si>
  <si>
    <t>2024.02.20</t>
  </si>
  <si>
    <t>四年累积赔付9.12亿</t>
  </si>
  <si>
    <t>合理医疗费用（医保外，包含超法定说明书、慢性病门诊+特殊病种门诊+住院）</t>
  </si>
  <si>
    <t>0.5w</t>
  </si>
  <si>
    <t>1-1.2万，10%，1.2-1.5万，20%；1.5-2万，30%；2-3万，40%；3-5万，50%；5-10万，60%；10-20万，70%；20-50万，80%；50-100万，90%；100万以上，95%</t>
  </si>
  <si>
    <t>100W</t>
  </si>
  <si>
    <t>含特殊病种门诊</t>
  </si>
  <si>
    <t>武汉</t>
  </si>
  <si>
    <t>江城安心保</t>
  </si>
  <si>
    <t>2026.3.1</t>
  </si>
  <si>
    <t>2027.2.28</t>
  </si>
  <si>
    <t>基础版128、升级版188</t>
  </si>
  <si>
    <t>累积理赔超1亿，累积参保126万</t>
  </si>
  <si>
    <t>有</t>
  </si>
  <si>
    <t>目录外住院医疗费用</t>
  </si>
  <si>
    <t>非特定既往1.8万、特定既往2.5万</t>
  </si>
  <si>
    <t>基础版：非特定既往症：20万以下40%，20万以上60%；既往症可报10%；升级版：非特定既往症：20万以下40%，20万以上60%；既往症可报15%；</t>
  </si>
  <si>
    <t>鄂州</t>
  </si>
  <si>
    <t>鄂州惠民保</t>
  </si>
  <si>
    <t>2025.11.18</t>
  </si>
  <si>
    <t>截至2024.6.30，累计赔付金额227.33万</t>
  </si>
  <si>
    <t>医保目录外住院个人自费费用</t>
  </si>
  <si>
    <t>1.5w</t>
  </si>
  <si>
    <t>非既往症：0-3w可报30%，3-6w可报40%；6-10w可报50%，10w+可报60%；既往症：0-3w可报20%，3-6w可报25%，6w+可报30%；</t>
  </si>
  <si>
    <t>50w</t>
  </si>
  <si>
    <t>不包含中草药、美容减肥保健品</t>
  </si>
  <si>
    <t>聊城</t>
  </si>
  <si>
    <t>聊惠保</t>
  </si>
  <si>
    <t>2025.12.22</t>
  </si>
  <si>
    <t>18岁以下：59元；19-59岁：89元；60+：110元</t>
  </si>
  <si>
    <t>2022.01.04</t>
  </si>
  <si>
    <t>基本医疗保险外住院及门诊慢特病医疗费用保障</t>
  </si>
  <si>
    <t>非既往症人群：1-5万可报5%，5-10万可报10%，10万以上可报20%；既往症人群：1-5万可报2.5%，5-10万可报5%，10万以上可报10%</t>
  </si>
  <si>
    <t>含住院及门诊慢特病发生的乙类先行自付及全额自费费用。不包含院外特药责任包含的费用</t>
  </si>
  <si>
    <t>乌鲁木齐</t>
  </si>
  <si>
    <t>红山惠民保</t>
  </si>
  <si>
    <t>2024.10.21</t>
  </si>
  <si>
    <t>2024.12.31</t>
  </si>
  <si>
    <t>2025.1.1</t>
  </si>
  <si>
    <t>基础版99，尊享版169</t>
  </si>
  <si>
    <t>医保范围外住院医疗费用保障</t>
  </si>
  <si>
    <t>0.8w</t>
  </si>
  <si>
    <t>0.8-4w,30%;4-6w,50%;6-20w,90%</t>
  </si>
  <si>
    <t>100w</t>
  </si>
  <si>
    <t>贵惠保</t>
  </si>
  <si>
    <t>2024.11.1</t>
  </si>
  <si>
    <t>2025.2.28</t>
  </si>
  <si>
    <t>2024.1.4</t>
  </si>
  <si>
    <t>1223.45（三期赔付金额）</t>
  </si>
  <si>
    <t>目录外住院医疗费用或慢特病门诊</t>
  </si>
  <si>
    <t>1.4万</t>
  </si>
  <si>
    <t>40%，既往症20%</t>
  </si>
  <si>
    <t>门特，是</t>
  </si>
  <si>
    <t>有门特，药品费用限额20万，手术材料费限额20万</t>
  </si>
  <si>
    <t>LMA北区</t>
  </si>
  <si>
    <t>吉林</t>
  </si>
  <si>
    <t>春城吉祥保</t>
  </si>
  <si>
    <t>2024.12.17</t>
  </si>
  <si>
    <t>2024.12.18</t>
  </si>
  <si>
    <t>基础版78，升级版（60岁一下138元、人，60岁（含）以上168）</t>
  </si>
  <si>
    <t>累计赔付2391.67万</t>
  </si>
  <si>
    <t>医保目录外院内自费药品费用保障</t>
  </si>
  <si>
    <t>60%，异地赔付25%；升级版80%，异地60%</t>
  </si>
  <si>
    <t>有负面清单，清单外的单价不超5000元</t>
  </si>
  <si>
    <t>江西</t>
  </si>
  <si>
    <t>南昌</t>
  </si>
  <si>
    <t>洪城惠民保</t>
  </si>
  <si>
    <t>2024.11.26</t>
  </si>
  <si>
    <t>2025.1.17</t>
  </si>
  <si>
    <t>24年累积赔付近1亿</t>
  </si>
  <si>
    <t>基本医保目录外住院费用</t>
  </si>
  <si>
    <t>2-10万元部分65%，10万元以上部分80%（既往症20%）</t>
  </si>
  <si>
    <t>正面清单1000种-该惠民保将取消</t>
  </si>
  <si>
    <t>否/该惠民保将取消</t>
  </si>
  <si>
    <t>惠辽保</t>
  </si>
  <si>
    <t>2024.11.20</t>
  </si>
  <si>
    <t>2025.1.28</t>
  </si>
  <si>
    <t>目录内外合计4.5万，首次参保和无理赔续保3.8万</t>
  </si>
  <si>
    <t>免赔额至6万 50%，6万以上 30%，既往症20%</t>
  </si>
  <si>
    <t xml:space="preserve">宁夏宁惠保 </t>
  </si>
  <si>
    <t>2024.12.20</t>
  </si>
  <si>
    <t>2025.12.21</t>
  </si>
  <si>
    <t>2025.12.20</t>
  </si>
  <si>
    <t>基础版79
升级版149</t>
  </si>
  <si>
    <t>住院医疗费用（医保外住院自付）</t>
  </si>
  <si>
    <t>基础版1.5万
升级版1.5万</t>
  </si>
  <si>
    <t>基础版40%
升级版50%，既往症30%</t>
  </si>
  <si>
    <t>基础版150万
升级版150万，既往症10万</t>
  </si>
  <si>
    <t>是，仅升级版</t>
  </si>
  <si>
    <t>阿克苏</t>
  </si>
  <si>
    <t>阿克苏惠民保</t>
  </si>
  <si>
    <t>2024.11.23</t>
  </si>
  <si>
    <t>2025.3.31</t>
  </si>
  <si>
    <t>合理自费医疗费用（含特病门诊及门诊，有白名单）</t>
  </si>
  <si>
    <t>0.5w-1w：30%，1w-1.5w：40%；1.5w-2.3w：50%；2.3w-5w：70%；5w-10w：75%；10w+：85%</t>
  </si>
  <si>
    <t>无封顶线</t>
  </si>
  <si>
    <t>292种药品的白名单（含善唯达、威凡、爱博新、维万新、舒普深），</t>
  </si>
  <si>
    <t>有门特，异地未备案报50%</t>
  </si>
  <si>
    <t>天水</t>
  </si>
  <si>
    <t>龙城惠民保</t>
  </si>
  <si>
    <t>2024.12.23</t>
  </si>
  <si>
    <t>2025.3.1</t>
  </si>
  <si>
    <t>基础版69/高级版99</t>
  </si>
  <si>
    <t>医保目录外住院医疗费用保障</t>
  </si>
  <si>
    <t>基础版：首保1.5万，续保1.4万
升级版：首保1.4万，续保1.2万，家庭共济1.5万</t>
  </si>
  <si>
    <t>基础版：40% 既往症20；高级版：45%. 既往症25%</t>
  </si>
  <si>
    <t>基础版：100万/升级版：150万</t>
  </si>
  <si>
    <t>北海</t>
  </si>
  <si>
    <t>北海惠民保</t>
  </si>
  <si>
    <t>79，129</t>
  </si>
  <si>
    <t>可</t>
  </si>
  <si>
    <t>居民1.5万，职工1万（升级版2万）</t>
  </si>
  <si>
    <t>基础版：20%，升级版：非严重既往40%，严重既往30%）</t>
  </si>
  <si>
    <t>安阳</t>
  </si>
  <si>
    <t>安阳惠民保</t>
  </si>
  <si>
    <t>2024.12.13</t>
  </si>
  <si>
    <t>2025.3.15</t>
  </si>
  <si>
    <t>2025.1.10</t>
  </si>
  <si>
    <t>“安阳惠民保”自2022年推出以来，三年累计参保超100万人次。截至2024年12月底，“安阳惠民保”累计理赔金额1.09亿元</t>
  </si>
  <si>
    <t>合理自费医疗费用</t>
  </si>
  <si>
    <t>69：1.5万；99/169：1万</t>
  </si>
  <si>
    <t>69：1.5-2.5，30%；2.5-10，50%，10-20，60%，20-50，70%，50+，80%；99/169：1-2，30%，2-10，50%，10-20，60……，20-50，70%，50+，80%</t>
  </si>
  <si>
    <t>与医保内共享100w</t>
  </si>
  <si>
    <t>有负面清单（滋补保健、整形美容、非医疗用途）</t>
  </si>
  <si>
    <t>赣州</t>
  </si>
  <si>
    <t>赣州惠民保</t>
  </si>
  <si>
    <t>2024.12.12</t>
  </si>
  <si>
    <t>医保目录外支援医疗费用保险金</t>
  </si>
  <si>
    <t>0-20万：55%，20万+：80%，既往症 20%</t>
  </si>
  <si>
    <t>100万。其中单品药品费用年赔付额30万，单次住院手术材料器材赔付上限5万</t>
  </si>
  <si>
    <t>·</t>
  </si>
  <si>
    <t>乐山</t>
  </si>
  <si>
    <t>医保范围外个人自费医疗费用</t>
  </si>
  <si>
    <t>1.2万</t>
  </si>
  <si>
    <t>100万（与目录内住院责任，特药费用共享）</t>
  </si>
  <si>
    <t>有特殊门诊B类。按照《乐山市基本医保特殊门诊政策》门诊慢特B类（或2类）疾病编码和疾病病种执行</t>
  </si>
  <si>
    <t>雅安</t>
  </si>
  <si>
    <t>惠雅保（原雅安惠民保）</t>
  </si>
  <si>
    <t>2024.12.8</t>
  </si>
  <si>
    <t>2025.2.12</t>
  </si>
  <si>
    <t>59/99</t>
  </si>
  <si>
    <t>基本医保目录外住院医疗费用</t>
  </si>
  <si>
    <t>首次0.9万，续保0.7w</t>
  </si>
  <si>
    <t>普惠版：首次：0.9-1.5万5%，既往0；1.5以上10%，既往症0%。续保：0.7-1.3万5%，既往5%；1.3万以上10%，既往症6%。
升级版：首次：0.9-1.5万5%，既往0；1.5以上15%，既往症0%。续保：0.7-1.3万5%，既往5%；1.3万以上15%，既往症10%。</t>
  </si>
  <si>
    <t>100万（与目录内住院责任共享）</t>
  </si>
  <si>
    <t>择捷美重点区域</t>
  </si>
  <si>
    <t>大爱无疆</t>
  </si>
  <si>
    <t>项目2024年累计赔付金额1.76亿</t>
  </si>
  <si>
    <t>吉安</t>
  </si>
  <si>
    <t>吉惠保</t>
  </si>
  <si>
    <t>未成年79，成年人100</t>
  </si>
  <si>
    <t>2024.6.30</t>
  </si>
  <si>
    <t>总赔付653.25w (2024.6.30)</t>
  </si>
  <si>
    <t>医保外自费医疗费用
（急诊+日间手术+门特）</t>
  </si>
  <si>
    <t>非既往55%(0-10万)，60%(10-20万)，70%(50万)，75%(&gt;50万)，既往20%</t>
  </si>
  <si>
    <t>是，20%</t>
  </si>
  <si>
    <t>鹰潭</t>
  </si>
  <si>
    <t>鹰潭惠民保</t>
  </si>
  <si>
    <t>目录外住院医疗费用，急救抢救，日间手术，一类慢病门诊视同住院</t>
  </si>
  <si>
    <t>70%，既往症20%</t>
  </si>
  <si>
    <t>有清单</t>
  </si>
  <si>
    <t>九江</t>
  </si>
  <si>
    <t>九江惠民保</t>
  </si>
  <si>
    <t>1/18/2025（3/1/2025）</t>
  </si>
  <si>
    <t>2/28/2025（4/30/2025）</t>
  </si>
  <si>
    <t>3/1/2025(2/28/2026)</t>
  </si>
  <si>
    <t>2/28/2026(4/30/2026)</t>
  </si>
  <si>
    <t>2025.1.18</t>
  </si>
  <si>
    <t>2022-23年累计赔付10262人次，赔付9730万元</t>
  </si>
  <si>
    <t>目录外住院医疗费用，慢特病门诊，日间手术，门诊放化疗，双通道费用</t>
  </si>
  <si>
    <t>0-20万 55%，20-50万 75%，50万以上 85%，既往症20%</t>
  </si>
  <si>
    <t>遂宁</t>
  </si>
  <si>
    <t>惠遂保</t>
  </si>
  <si>
    <t>升级 99；
普惠 69</t>
  </si>
  <si>
    <t>单笔最高赔付金额83.28万元</t>
  </si>
  <si>
    <t>医保外自费医疗费用
（住院+门特）</t>
  </si>
  <si>
    <t>新保1.6万
续保1.3万</t>
  </si>
  <si>
    <t>非既往75%
既往40%</t>
  </si>
  <si>
    <t>门特可报；既往症-恶性肿瘤不予报销</t>
  </si>
  <si>
    <t>昭通</t>
  </si>
  <si>
    <t>昭通惠民保</t>
  </si>
  <si>
    <t>2025.1.15</t>
  </si>
  <si>
    <t>69/129</t>
  </si>
  <si>
    <t>医保政策范围外医疗费用</t>
  </si>
  <si>
    <t>基础版：既往症20%，非既往症50%/尊享版：既往症30%，非既往症60%</t>
  </si>
  <si>
    <t>单品药品费以10万元为限</t>
  </si>
  <si>
    <t>金昌</t>
  </si>
  <si>
    <t>镍都惠民保</t>
  </si>
  <si>
    <t>2024.12.26</t>
  </si>
  <si>
    <t>69/99</t>
  </si>
  <si>
    <t>非既往症45%，四类重大既往症25%</t>
  </si>
  <si>
    <t>汕尾</t>
  </si>
  <si>
    <t>善美保</t>
  </si>
  <si>
    <t>累计赔付金额7400w，2025年</t>
  </si>
  <si>
    <t>住院和门特医保目录外药品和检验检查费保障（不包含耗材费）</t>
  </si>
  <si>
    <t>2w，续保无赔1.8万元</t>
  </si>
  <si>
    <t>50%，异地25%</t>
  </si>
  <si>
    <t>200w</t>
  </si>
  <si>
    <t>郑州</t>
  </si>
  <si>
    <t>郑州医惠保</t>
  </si>
  <si>
    <t>参保期1：2025/2/26
参保期2：2025/3/21</t>
  </si>
  <si>
    <t>参保期1：2025/3/20
参保期2：2025/4/30</t>
  </si>
  <si>
    <t>保障期1：2025/3/21
保障期2：2025/5/1</t>
  </si>
  <si>
    <t>保障期1：2026/3/20
保障期2：2026/4/30</t>
  </si>
  <si>
    <t>169升级版，89基础版</t>
  </si>
  <si>
    <t>住院合理自费医疗费用（自费+乙类自付+超额）</t>
  </si>
  <si>
    <t>非既往症1.8万元，既往症1.9万元</t>
  </si>
  <si>
    <t>50%，既往症20%</t>
  </si>
  <si>
    <t>无清单限制，单一通用名药品累计限10万元以内</t>
  </si>
  <si>
    <t>既往症范围：省内门诊规定病种及重特大基本门诊病种、特定药品待遇人群</t>
  </si>
  <si>
    <t>襄阳</t>
  </si>
  <si>
    <t>惠襄保（原襄阳惠民保）</t>
  </si>
  <si>
    <t>基本医保范围外的医疗费用</t>
  </si>
  <si>
    <t>一类（22-23年医保报销小于1.5万）：50万以下45%，50-100万50%，100-150万80%，150万以上90%
二类（22-23年医保报销达1.5万及以上）：50万以下15%，50-100万25%，100-150万40%，150万以上50%</t>
  </si>
  <si>
    <t>吉林全省</t>
  </si>
  <si>
    <t>吉康保</t>
  </si>
  <si>
    <t>参保期1 2025/2/17
参保期2 2025/3/31
参保期3 2025/4/20</t>
  </si>
  <si>
    <t>参保期1 2025/3/30
参保期2 2025/4/19
参保期3 2025/4/25</t>
  </si>
  <si>
    <t>3，4</t>
  </si>
  <si>
    <t>保障期1 2025/3/31
保障期2 2025/4/20
保障期3 2025/4/29</t>
  </si>
  <si>
    <t>保障期1 2026/3/30
保障期2 2026/4/19
保障期3 2026/4/29</t>
  </si>
  <si>
    <t>普通版68元
尊享版129元(0-59岁)；149元(60岁以上)
至尊版169元(0-59岁)；189元(60岁以上)</t>
  </si>
  <si>
    <t>是
仅尊享版</t>
  </si>
  <si>
    <t>60%，异地30%</t>
  </si>
  <si>
    <t>宜春</t>
  </si>
  <si>
    <t>宜春惠民保</t>
  </si>
  <si>
    <t>2025.2.11</t>
  </si>
  <si>
    <t>2024.4.13</t>
  </si>
  <si>
    <t>截至2025.1.20，累计理赔案件超1万件，赔付金额超9388万元</t>
  </si>
  <si>
    <t>医保政策范围外住院医疗费用</t>
  </si>
  <si>
    <t>0-10万 50%，10-20万 60%，20-50万 70%，50万以上 80%，既往症20%</t>
  </si>
  <si>
    <t>有正面清单</t>
  </si>
  <si>
    <t>泰安</t>
  </si>
  <si>
    <t>泰安市民保</t>
  </si>
  <si>
    <t>住院医疗费用保险责任</t>
  </si>
  <si>
    <t>泰安市内：1.5-5万元，报销10%；5-10万元，报销20%；10-20万元，报销30%；20万元以上报销50%
泰安市外：1.5-5万元，报销5%；5-10万元，报销15%；10-20万元25%；20万元以上40%</t>
  </si>
  <si>
    <t>不含指定罕见病及其并发症住院医疗责任</t>
  </si>
  <si>
    <t>德宏</t>
  </si>
  <si>
    <t>德宏惠民保</t>
  </si>
  <si>
    <t>2023.502025.1，累积赔付470W</t>
  </si>
  <si>
    <t>医保目录外自费（住院+门特）</t>
  </si>
  <si>
    <t>连续参保1万；非连续参保1.3万</t>
  </si>
  <si>
    <t>非既往30%；既往20%</t>
  </si>
  <si>
    <t>30W</t>
  </si>
  <si>
    <t>玉溪</t>
  </si>
  <si>
    <t>玉溪惠民保</t>
  </si>
  <si>
    <t>80基础款，129元升级款</t>
  </si>
  <si>
    <t>单人最高赔付35万元、年龄最大参保人98岁、最小9个月</t>
  </si>
  <si>
    <t>基础版首次参保1.2万，连续参保1.1万；升级版首次参保1.1万，连续参保1万，特殊人群0</t>
  </si>
  <si>
    <t>基础版：市内定点住院 非既往症30% 既往症20%；市外定点住院 非既往症20% 既往症20%。升级版：市内定点住院 非既往症35% 既往症20%；市外定点住院 非既往症20% 既往症20%</t>
  </si>
  <si>
    <t>基础版200万元，升级版200万</t>
  </si>
  <si>
    <t>鹏城保</t>
  </si>
  <si>
    <t>2025.3.19</t>
  </si>
  <si>
    <t>2025.4.30</t>
  </si>
  <si>
    <t>470万（累计1870万）</t>
  </si>
  <si>
    <t>医保范围外住院医疗费用保障责任</t>
  </si>
  <si>
    <t>参保所在地就医90%，所在地外就医无转诊或备案70%</t>
  </si>
  <si>
    <t>单一药品植体耗材年度上限20万</t>
  </si>
  <si>
    <t>鹤壁</t>
  </si>
  <si>
    <t>惠鹤保</t>
  </si>
  <si>
    <t>2025.3.20</t>
  </si>
  <si>
    <t>2025.5.20</t>
  </si>
  <si>
    <t>2025.4.19</t>
  </si>
  <si>
    <t>2026.4.18</t>
  </si>
  <si>
    <t>89/189</t>
  </si>
  <si>
    <t>医保范围外医疗费用</t>
  </si>
  <si>
    <t>基础版2万
升级版2万</t>
  </si>
  <si>
    <t>基础版50%，既往症20%
升级版90%，既往症45%</t>
  </si>
  <si>
    <t>十堰（含神农架）</t>
  </si>
  <si>
    <t>十惠保</t>
  </si>
  <si>
    <t>2025.3.25</t>
  </si>
  <si>
    <t>2025.5.31</t>
  </si>
  <si>
    <t>2025.6.1</t>
  </si>
  <si>
    <t>2026.5.31</t>
  </si>
  <si>
    <t>医保政策外个人自费费用（含门特）</t>
  </si>
  <si>
    <t>2W</t>
  </si>
  <si>
    <t>健康体60%，既往症30%</t>
  </si>
  <si>
    <t>含门诊慢特病。属于十堰基本医保门诊慢特病待遇细则门诊慢特病病种目录</t>
  </si>
  <si>
    <t>江西省（除南昌）</t>
  </si>
  <si>
    <t>卫惠保</t>
  </si>
  <si>
    <t>2025.3.12</t>
  </si>
  <si>
    <t>3.8人获赔，收益金额超2.66亿元%</t>
  </si>
  <si>
    <t>住院医疗发生的基本医疗保险范围外个人负担的自费费用</t>
  </si>
  <si>
    <t>既往症：20w内（含）20%，20-40w报30%，40w以上40%；非既往症10w内（含）35%，10-30w报70%，30w以上报80%</t>
  </si>
  <si>
    <t>内蒙古</t>
  </si>
  <si>
    <t>呼和浩特</t>
  </si>
  <si>
    <t>青城保</t>
  </si>
  <si>
    <t>2025.6.10</t>
  </si>
  <si>
    <t>2025.6.11</t>
  </si>
  <si>
    <t>2026.6.10</t>
  </si>
  <si>
    <t>基础版106；升级版185</t>
  </si>
  <si>
    <t>2025.7.29</t>
  </si>
  <si>
    <t>住院医疗费用保障</t>
  </si>
  <si>
    <t>健康体：5万元（含）内40%；5万—10万（含）部分50%；10万—30万（含）部分60%；30万元以上部分70%。既往症 10%</t>
  </si>
  <si>
    <t>仅住院</t>
  </si>
  <si>
    <t>眉山</t>
  </si>
  <si>
    <t>东坡惠民保</t>
  </si>
  <si>
    <t>2025.3.26</t>
  </si>
  <si>
    <t>基础版59 升级版99</t>
  </si>
  <si>
    <t>3年累积赔付4443.57w</t>
  </si>
  <si>
    <t>医保目录外住院（含II类门特）医疗费用保障（按30%纳入）</t>
  </si>
  <si>
    <t>基础版1.5万，升级版1.4万</t>
  </si>
  <si>
    <t>80%，既往症35%（健康人群首次参保理赔后，续保视为非既往症患者80%）</t>
  </si>
  <si>
    <t>与目录内住院共享100万</t>
  </si>
  <si>
    <t>保山</t>
  </si>
  <si>
    <t>保山惠民保</t>
  </si>
  <si>
    <t>2025.3.18</t>
  </si>
  <si>
    <t>基础版68，升级版128</t>
  </si>
  <si>
    <t>特定住院自费医疗保险金（含门特）</t>
  </si>
  <si>
    <t>1.2w</t>
  </si>
  <si>
    <t>健康体70%，既往症30%</t>
  </si>
  <si>
    <t>临沧</t>
  </si>
  <si>
    <t>临沧惠民保</t>
  </si>
  <si>
    <t>2025.3.11</t>
  </si>
  <si>
    <t>2025.5.1</t>
  </si>
  <si>
    <t>30%（不限既往症）</t>
  </si>
  <si>
    <t>仅恶性肿瘤（含白血病、淋巴瘤）</t>
  </si>
  <si>
    <t>爱她保</t>
  </si>
  <si>
    <t>199升级 89基础</t>
  </si>
  <si>
    <t>基本医疗保险范围外恶性肿瘤自费医疗费用保险金</t>
  </si>
  <si>
    <t>原发性特定恶性肿瘤确诊津贴 2万，5万-升级款</t>
  </si>
  <si>
    <t>惠厦保</t>
  </si>
  <si>
    <t>医保范围外住院自费医疗费用</t>
  </si>
  <si>
    <t>1.7万，既往症2万（续保且该项责任无理赔1.6万/既往症1.9万）</t>
  </si>
  <si>
    <t>新发50%，既往症30%</t>
  </si>
  <si>
    <t>需通过医院途径采购</t>
  </si>
  <si>
    <t>莞家福</t>
  </si>
  <si>
    <t>累计347万人 3.01亿元赔付（截至2025.6.30）</t>
  </si>
  <si>
    <t>医保政策外住院和门诊特定病种合规医疗费用补偿</t>
  </si>
  <si>
    <t>2-10W：45%（既往症40%）；10-30w：65%（既往症60%）；30w+，85%（既往症80%）</t>
  </si>
  <si>
    <t>单一药品最高30万，门特可报</t>
  </si>
  <si>
    <t>深圳惠民保</t>
  </si>
  <si>
    <t>24.06.30</t>
  </si>
  <si>
    <t>34.17%；已大于35%(2024.6.30)</t>
  </si>
  <si>
    <t>累计赔付人次超7万</t>
  </si>
  <si>
    <t>目录外住院保障</t>
  </si>
  <si>
    <t>1.1万</t>
  </si>
  <si>
    <t>70%，既往同比例</t>
  </si>
  <si>
    <t>120万.单品种限额50w</t>
  </si>
  <si>
    <t>有清单，门特可报</t>
  </si>
  <si>
    <t>2025.4.1</t>
  </si>
  <si>
    <t>截至2025.3.1，累积赔付金额3100w</t>
  </si>
  <si>
    <t>医保范围外医疗费用（自费+乙类首自付+超限价费用）</t>
  </si>
  <si>
    <t>2.3w（连续投保且既往无理赔人员免赔额为2.2w）</t>
  </si>
  <si>
    <t>非既往症：5w以下，30%；5w以上，60%；既往症：5w以下，10%；5w以上，20%</t>
  </si>
  <si>
    <t>萍乡</t>
  </si>
  <si>
    <t>惠萍保</t>
  </si>
  <si>
    <t>2025.4.18</t>
  </si>
  <si>
    <t>2025.6.29</t>
  </si>
  <si>
    <t>120.未成年人：79</t>
  </si>
  <si>
    <t>医保目录外住院医疗费用</t>
  </si>
  <si>
    <t>2.2万</t>
  </si>
  <si>
    <t>既往症20%。非既往症0-10w：45%；10-20w：55%；20-50w：65%；50w以上：75%</t>
  </si>
  <si>
    <t>惠蒙保</t>
  </si>
  <si>
    <t>106（普惠版）；136（普惠版+）</t>
  </si>
  <si>
    <t>2023.8.11</t>
  </si>
  <si>
    <t>三年累积投保422W</t>
  </si>
  <si>
    <t>基本医疗保险范围外医疗费用保障</t>
  </si>
  <si>
    <t>1.2万（普惠）1.1万（普惠+）</t>
  </si>
  <si>
    <t>健康体50%，既往症不配付（两版本一致）</t>
  </si>
  <si>
    <t>23年度参保人在23年度保障期间确诊本产品约定特定既往症，24年续保可按约定赔付比例赔付</t>
  </si>
  <si>
    <t>沪惠保</t>
  </si>
  <si>
    <t>报销+直赔</t>
  </si>
  <si>
    <t>2024.8.1</t>
  </si>
  <si>
    <t>累计赔付18亿</t>
  </si>
  <si>
    <t>特定住院自费医疗费用保险金</t>
  </si>
  <si>
    <t>1.2万，健康持续参保2年1.1万，健康持续参保3年免赔额1万</t>
  </si>
  <si>
    <t>新发70%，既往50%</t>
  </si>
  <si>
    <t>100万（单药品封顶30万，单次住院手术材料费限额20万）</t>
  </si>
  <si>
    <t>泸州</t>
  </si>
  <si>
    <t>泸惠保</t>
  </si>
  <si>
    <t>89（基础版）109（升级版）</t>
  </si>
  <si>
    <t>2022.10.16</t>
  </si>
  <si>
    <t>是（升级版）</t>
  </si>
  <si>
    <t>医保目录外费用</t>
  </si>
  <si>
    <t>0.2万</t>
  </si>
  <si>
    <t>仅升级版含</t>
  </si>
  <si>
    <t>达州</t>
  </si>
  <si>
    <t>达惠保</t>
  </si>
  <si>
    <t xml:space="preserve">普惠款59，安享款99，优选129 </t>
  </si>
  <si>
    <t>累积参保人数超149w，累计赔付6571，54w</t>
  </si>
  <si>
    <t>是（升级版，优享版）</t>
  </si>
  <si>
    <t>医保目录外住院医疗费用个人自费医疗费用</t>
  </si>
  <si>
    <t>75%，其中五类既往症按30%报销，其余既往症仍75%</t>
  </si>
  <si>
    <t>个人累计最高赔付46.83万元</t>
  </si>
  <si>
    <t>资阳</t>
  </si>
  <si>
    <t>资惠保</t>
  </si>
  <si>
    <t>两年累积参保35W，累积赔付814w</t>
  </si>
  <si>
    <t>医保外住院费用-含门特</t>
  </si>
  <si>
    <t>1.7万（续保1.6万）</t>
  </si>
  <si>
    <t>20%，12种既往症赔付10%</t>
  </si>
  <si>
    <t>门诊特殊重症（99元版含）</t>
  </si>
  <si>
    <t>南宁</t>
  </si>
  <si>
    <t>惠邕保</t>
  </si>
  <si>
    <t>79（普惠版）139（尊享版）</t>
  </si>
  <si>
    <t>三年投保275w，赔付1.7亿</t>
  </si>
  <si>
    <t>是（仅普惠版）</t>
  </si>
  <si>
    <t>基本医保范围外住院费用</t>
  </si>
  <si>
    <t>45%，25%</t>
  </si>
  <si>
    <t>仅普惠版</t>
  </si>
  <si>
    <t>福汉康</t>
  </si>
  <si>
    <t>医保目录外住院费用</t>
  </si>
  <si>
    <t>70%，既往30%</t>
  </si>
  <si>
    <t>恩施</t>
  </si>
  <si>
    <t>恩施惠民保</t>
  </si>
  <si>
    <t>医保外个人自费</t>
  </si>
  <si>
    <t>60%，既往30%</t>
  </si>
  <si>
    <t>职工家庭防癌抗癌保障卡</t>
  </si>
  <si>
    <t>2025/8/1 2025/9/1</t>
  </si>
  <si>
    <t>2026/7/31 2026/8/31</t>
  </si>
  <si>
    <t>45/90</t>
  </si>
  <si>
    <t>青岛</t>
  </si>
  <si>
    <t>琴岛e保</t>
  </si>
  <si>
    <t>139/169</t>
  </si>
  <si>
    <t>2023.5.25</t>
  </si>
  <si>
    <t>医保范围外自费部分补充医疗保障（仅住院）</t>
  </si>
  <si>
    <t>新保：2.5w；续保：1.2w</t>
  </si>
  <si>
    <t>续保：1.2w-2.5w，10%；2.5w-5w，50%（既往30%）； 5万以上80%（既往60%）。新保：2.5w-5w，50%（既往30%）； 5万以上80%（既往60%）</t>
  </si>
  <si>
    <t>与目录内合计260万（质子、重离子治疗最高支付限额10万</t>
  </si>
  <si>
    <t>有白名单（2000种）</t>
  </si>
  <si>
    <t>仅住院医保目录外</t>
  </si>
  <si>
    <t>医保范围外个人自费医疗费用（含门特）</t>
  </si>
  <si>
    <t>连续参保1.1万，首次或非连续参保1.5万</t>
  </si>
  <si>
    <t>普洱</t>
  </si>
  <si>
    <t>人民普惠保</t>
  </si>
  <si>
    <t>截至23年累积赔付980W</t>
  </si>
  <si>
    <t>疾病住院和特殊门诊医疗费用</t>
  </si>
  <si>
    <t>1-2w，20%；2-5w，30%；5w+，50%（不区分既往症）</t>
  </si>
  <si>
    <t>临沂</t>
  </si>
  <si>
    <t>临沂保</t>
  </si>
  <si>
    <t>69基础 99升级</t>
  </si>
  <si>
    <t>4年累积453w参保人，累积赔付金额超3亿</t>
  </si>
  <si>
    <t>医保政策范围外自费费用</t>
  </si>
  <si>
    <t>1w</t>
  </si>
  <si>
    <t>1-2w，5%；2-10w，8%；10w以上，14%</t>
  </si>
  <si>
    <t>30w</t>
  </si>
  <si>
    <t>含门慢特</t>
  </si>
  <si>
    <t>陕西</t>
  </si>
  <si>
    <t>西安</t>
  </si>
  <si>
    <t>惠秦保</t>
  </si>
  <si>
    <t>新保1.8万，续保1.5万（有理赔客户免赔3万）</t>
  </si>
  <si>
    <t>60%（有理赔客户给付30%）</t>
  </si>
  <si>
    <t>指续保的有理赔客户</t>
  </si>
  <si>
    <t>曲靖</t>
  </si>
  <si>
    <t>曲靖惠民保</t>
  </si>
  <si>
    <t>2025.6.30</t>
  </si>
  <si>
    <t>99/199</t>
  </si>
  <si>
    <t>赔付1995人次，391.17万</t>
  </si>
  <si>
    <t>基本医保目录外住院医疗费用保险金</t>
  </si>
  <si>
    <t>基础版：目录内外共享1.3w：升级版：目录内外共享0.65w</t>
  </si>
  <si>
    <t>基础版升级版一致：30%，如涉及保单约定的既往症15%，异地15%</t>
  </si>
  <si>
    <t>129升级 89基础</t>
  </si>
  <si>
    <t>2023.1.1.</t>
  </si>
  <si>
    <t>历史累积赔付金额3017W</t>
  </si>
  <si>
    <t>福建（厦门除外）</t>
  </si>
  <si>
    <t>惠闽宝</t>
  </si>
  <si>
    <t>2025.7.8</t>
  </si>
  <si>
    <t>2025.8.31</t>
  </si>
  <si>
    <t>129，179</t>
  </si>
  <si>
    <t>特药直付</t>
  </si>
  <si>
    <t>2023.8.7</t>
  </si>
  <si>
    <t>住院医疗产生的医保目录外个人自费费用</t>
  </si>
  <si>
    <t>升级版：1.8w（无理赔续保1.6w），既往症2.5w；普惠版：1.9w（无理赔续保1.8w），既往症2.5w；</t>
  </si>
  <si>
    <t>升级版：70%，既往30%；普惠版：非既往症50%，既往30%</t>
  </si>
  <si>
    <t>湛江市民保（自费无忧已合并入）</t>
  </si>
  <si>
    <t>2025.7.14</t>
  </si>
  <si>
    <t>2025.8.25</t>
  </si>
  <si>
    <t>2025.8.26</t>
  </si>
  <si>
    <t>2026.8.25</t>
  </si>
  <si>
    <t>69/158</t>
  </si>
  <si>
    <t>基本医疗保险范围外住院医疗费用补偿</t>
  </si>
  <si>
    <t>升级版：续保1.5万，新保1.8万</t>
  </si>
  <si>
    <t>升级版：10万以下，70%；10-15万，75%；15万以上，80%。异地就医50%</t>
  </si>
  <si>
    <t>崇左</t>
  </si>
  <si>
    <t>崇惠保</t>
  </si>
  <si>
    <t>2025.7.30</t>
  </si>
  <si>
    <t>2025.9.30</t>
  </si>
  <si>
    <t>2025.9.23</t>
  </si>
  <si>
    <t>2026.9.22</t>
  </si>
  <si>
    <t>2023.12.31</t>
  </si>
  <si>
    <t>基本医保范围外的住院医疗费用</t>
  </si>
  <si>
    <t>2万起付</t>
  </si>
  <si>
    <t>20%，既往症15%</t>
  </si>
  <si>
    <t>贺州</t>
  </si>
  <si>
    <t>贺惠保</t>
  </si>
  <si>
    <t>2025.10.31</t>
  </si>
  <si>
    <t>2025.9.9</t>
  </si>
  <si>
    <t>2026.9.8</t>
  </si>
  <si>
    <t>普惠69；尊享268</t>
  </si>
  <si>
    <t>累计赔付逾739w(2024.08.05)</t>
  </si>
  <si>
    <t>基本医疗保险范围外住院医疗费用</t>
  </si>
  <si>
    <t>普惠=尊享1.5w</t>
  </si>
  <si>
    <t>普惠版：健康体可报40%，既往症可报20%；
尊享版：健康体可报30%，既往症可报15%</t>
  </si>
  <si>
    <t>普惠100w；尊享200w</t>
  </si>
  <si>
    <t>防城港</t>
  </si>
  <si>
    <t>防城港惠民保</t>
  </si>
  <si>
    <t>2025.7.9</t>
  </si>
  <si>
    <t>2025.8.15</t>
  </si>
  <si>
    <t>79/76（续保或18岁以下）</t>
  </si>
  <si>
    <t>2023.7.28</t>
  </si>
  <si>
    <t>总赔付金额503.8万</t>
  </si>
  <si>
    <t>1.2w（特殊人群0.8w)</t>
  </si>
  <si>
    <t>普通人群30%，既往症10%；特殊人群：40%，10%</t>
  </si>
  <si>
    <t>河池</t>
  </si>
  <si>
    <t>河池惠民保</t>
  </si>
  <si>
    <t>2025.9.7</t>
  </si>
  <si>
    <t>2026.9.6</t>
  </si>
  <si>
    <t>78，尊享版139</t>
  </si>
  <si>
    <t>2023.7.18</t>
  </si>
  <si>
    <t>截至2025.6.30，累积赔付金额2188万元，累积参保人38W</t>
  </si>
  <si>
    <t>基础版：1.5万起付。尊享版：1.8万起付</t>
  </si>
  <si>
    <t>基础版：健康体可报20%，既往症可报10%尊享版：健康体：1.8-5w，20%，5-10万，40%，10-20万，50%；20万以上，65%；既往症：1.8-5w，6%，5-10万，13%，10-20万，15%；20万以上，18%；</t>
  </si>
  <si>
    <t>包头</t>
  </si>
  <si>
    <t>鹿城保</t>
  </si>
  <si>
    <t>2025.7.2</t>
  </si>
  <si>
    <t>2025.8.19</t>
  </si>
  <si>
    <t>86/126</t>
  </si>
  <si>
    <t>医保政策范围外的住院医疗费用</t>
  </si>
  <si>
    <t>基础版：1.2万 ；升级版：1万</t>
  </si>
  <si>
    <t>基础版：健康体50%，既往症10%；升级版：健康体：55%，既往症：10%</t>
  </si>
  <si>
    <t>宁夏医惠保</t>
  </si>
  <si>
    <t>2025.7.7</t>
  </si>
  <si>
    <t>2025.9.1</t>
  </si>
  <si>
    <t>2026.8.31</t>
  </si>
  <si>
    <t>79/149</t>
  </si>
  <si>
    <t>住院医疗费用（医保外住院费用）</t>
  </si>
  <si>
    <t>一般人群：60%；既往病症：20%</t>
  </si>
  <si>
    <t>150万（既往症10万）</t>
  </si>
  <si>
    <t>文山</t>
  </si>
  <si>
    <t>文山惠民保</t>
  </si>
  <si>
    <t>截至2025.6累积赔付2432w。累积参保人数65.04w</t>
  </si>
  <si>
    <t>目录外住院及门诊特殊病医疗费用保障</t>
  </si>
  <si>
    <t>30%（包含既往症）</t>
  </si>
  <si>
    <t>丽江</t>
  </si>
  <si>
    <t>丽江惠民保</t>
  </si>
  <si>
    <t>2025.10.15</t>
  </si>
  <si>
    <t>2025.10.30</t>
  </si>
  <si>
    <t>2026.10.15</t>
  </si>
  <si>
    <t>74.42万</t>
  </si>
  <si>
    <t>2025.9.4</t>
  </si>
  <si>
    <t>2025.8.1；2025.9.15</t>
  </si>
  <si>
    <t>2026.7.31；2026.9.14</t>
  </si>
  <si>
    <t>基础版69，升级版129</t>
  </si>
  <si>
    <t>2023.5.31</t>
  </si>
  <si>
    <t>仅129元版本</t>
  </si>
  <si>
    <t>1.2万（既往参保未理赔，1w）</t>
  </si>
  <si>
    <t>20%，异地赔付减半</t>
  </si>
  <si>
    <t>有白名单-449</t>
  </si>
  <si>
    <t>三明</t>
  </si>
  <si>
    <t>三明普惠医联保</t>
  </si>
  <si>
    <t>2025.8.1</t>
  </si>
  <si>
    <t>累计赔付金额4761.68w</t>
  </si>
  <si>
    <t>梧州</t>
  </si>
  <si>
    <t>惠梧保</t>
  </si>
  <si>
    <t>2025.8.12</t>
  </si>
  <si>
    <t>2025.10.23</t>
  </si>
  <si>
    <t>2026.9.29</t>
  </si>
  <si>
    <t>普惠78，
尊享158</t>
  </si>
  <si>
    <t>2024.8.22</t>
  </si>
  <si>
    <t>两年累计赔付金额2000.89w</t>
  </si>
  <si>
    <t>普惠：2w
尊享 ：1.8w</t>
  </si>
  <si>
    <t>普惠款：健康体可报20%，既往症可报10%；尊享款：健康体最高可报55%，既往症人群最高可报30%</t>
  </si>
  <si>
    <t>玉林</t>
  </si>
  <si>
    <t>玉惠保</t>
  </si>
  <si>
    <t>2025.8.12/2025.10.9</t>
  </si>
  <si>
    <t>2025.9.25/2025.10.23</t>
  </si>
  <si>
    <t>2025.9.10/2025.10.16</t>
  </si>
  <si>
    <t>2026.9.9/2026.10.15</t>
  </si>
  <si>
    <t>普惠79（续保及未成年人75）；尊惠139（续保及未成年人129）</t>
  </si>
  <si>
    <t>尊惠：医保内外合并起付线2w；
普惠：普通人1.5w（既往1.8w）;特殊人群0.2w</t>
  </si>
  <si>
    <t>尊惠款分段累计报销
普通参保人（1）2w-10w：赔付15%；（2）10w-20w：赔付30%；（3）20w以上：赔付45%；
严重既往：（1）2w-5w：赔付8%；（2）5w-10w：赔付13%；（3）10-20w：赔付15%；（4）20w以上赔付18%；
普惠款
普通人群30%（严重既往5%）；特殊人群40%（严重既往5%）</t>
  </si>
  <si>
    <t>普惠100万；尊惠：医保目录内外共享200w</t>
  </si>
  <si>
    <t>青海</t>
  </si>
  <si>
    <t>青海健康保</t>
  </si>
  <si>
    <t>2025.11.30</t>
  </si>
  <si>
    <t>2025.7.17</t>
  </si>
  <si>
    <t>住院医疗保险责任</t>
  </si>
  <si>
    <t>1.2万起付</t>
  </si>
  <si>
    <t>非既往症可报20%-35%，既往症可报10%</t>
  </si>
  <si>
    <t>住院产生的必需且合理医疗费用</t>
  </si>
  <si>
    <t>8/12</t>
  </si>
  <si>
    <t>第一期：2025.8.19；第二期：2025.12.1</t>
  </si>
  <si>
    <t>第一期：2025.11.30；第二期：2025.12.31</t>
  </si>
  <si>
    <t>12/1</t>
  </si>
  <si>
    <t>2026.11.30</t>
  </si>
  <si>
    <t>升级版69，尊享版99；安享版129</t>
  </si>
  <si>
    <t xml:space="preserve">安享版共享1.5w，续保、特困低保人群共享1.3w，既往2w；
尊享版共享1.5w，续保、特困低保人群共享1.3w，既往2.5w；
升级版共享2w，续保、特困低保共享1.8w；
</t>
  </si>
  <si>
    <t>安享版健康体可报55%，既往可报20%；尊享版50%，既往症20%；升级版健康体可报40%，不赔既往症。</t>
  </si>
  <si>
    <t>150万。单一品种限额30万</t>
  </si>
  <si>
    <t>是，仅尊享、安享版连续投保可赔付</t>
  </si>
  <si>
    <t>天门</t>
  </si>
  <si>
    <t>天惠保</t>
  </si>
  <si>
    <t>12（8月补）</t>
  </si>
  <si>
    <t>2024.12.10</t>
  </si>
  <si>
    <t>2.5万起付</t>
  </si>
  <si>
    <t>健康体可报40%，既往症可报20%</t>
  </si>
  <si>
    <t>2026.10.31</t>
  </si>
  <si>
    <t>基础版59，尊享版99</t>
  </si>
  <si>
    <t>住院合规药品费用和检验检查费用（仅升级版）</t>
  </si>
  <si>
    <t>60%。首次投保升级版既往症不赔付</t>
  </si>
  <si>
    <t>是（首次投保升级版产品前约定的严重既往症不配付）</t>
  </si>
  <si>
    <t>百色</t>
  </si>
  <si>
    <t>百惠保</t>
  </si>
  <si>
    <t>8、11</t>
  </si>
  <si>
    <t>2025.8.20/2025.11.1</t>
  </si>
  <si>
    <t>2026.8.19/2026.10.31</t>
  </si>
  <si>
    <t>基础版：76；升级版：138</t>
  </si>
  <si>
    <t>2024.8.30</t>
  </si>
  <si>
    <t>40%，特殊人群45%，既往症20%</t>
  </si>
  <si>
    <t>贵港</t>
  </si>
  <si>
    <t>贵港惠民保</t>
  </si>
  <si>
    <t>2025.11.31</t>
  </si>
  <si>
    <t>健康体可报30%，既往症可报10%</t>
  </si>
  <si>
    <t>博鳌</t>
  </si>
  <si>
    <t>乐城特药险</t>
  </si>
  <si>
    <t>2025.9.17</t>
  </si>
  <si>
    <t>10、1</t>
  </si>
  <si>
    <t>2025.10.1/2026.1.1</t>
  </si>
  <si>
    <t>2026.9.30/2026.12.31</t>
  </si>
  <si>
    <t>A款49，B款99</t>
  </si>
  <si>
    <t>2023.1.7</t>
  </si>
  <si>
    <t>是，仅B款</t>
  </si>
  <si>
    <t>乐城指定医院特定医疗费用保障</t>
  </si>
  <si>
    <t>20w</t>
  </si>
  <si>
    <t>仅针对清单内五个进口器械对应适应症产生的诊查费、床位费、护理费、麻醉费等合理且必要的医疗费用（不包括进口特定药品和器械费用）</t>
  </si>
  <si>
    <t>惠琼保</t>
  </si>
  <si>
    <t>2025.9.16</t>
  </si>
  <si>
    <t>A款59，A款升级109；B款88，B款升级138</t>
  </si>
  <si>
    <t>累计赔付超1.6亿元</t>
  </si>
  <si>
    <t>基本医疗保险支付范围外：
A款&amp;B款限自费药品费用
A款升级版&amp;B款升级版是医疗费用</t>
  </si>
  <si>
    <t>2万，续保新发1.8万</t>
  </si>
  <si>
    <t>A款&amp;B款50%，特定既往症25%
A款升级版&amp;B款升级版60%，特定既往症30%</t>
  </si>
  <si>
    <t>A款&amp;B款10万，A款升级版&amp;B款升级版升级版100万</t>
  </si>
  <si>
    <t>黄冈</t>
  </si>
  <si>
    <t>黄惠保</t>
  </si>
  <si>
    <t>2025.9.13</t>
  </si>
  <si>
    <t>累计赔付金额超1.3亿</t>
  </si>
  <si>
    <t>50%，20%（既往症）</t>
  </si>
  <si>
    <t>住院+门诊规定病种，含乙类先自付</t>
  </si>
  <si>
    <t>云梦</t>
  </si>
  <si>
    <t>梦泽惠民保</t>
  </si>
  <si>
    <t>10，12</t>
  </si>
  <si>
    <t>2025.10.11/2025.12.1</t>
  </si>
  <si>
    <t>2026.10.10/2026.11.30</t>
  </si>
  <si>
    <t>个人负担目录外自费（住院和门诊慢特病）</t>
  </si>
  <si>
    <t>健康体--20万以下40%，20w以上30%；一般既往30%，重大既往10%；</t>
  </si>
  <si>
    <t>健康体及一般既往100万；重大既往50w</t>
  </si>
  <si>
    <t>（住院和门诊慢特病）</t>
  </si>
  <si>
    <t>江苏医惠保1号</t>
  </si>
  <si>
    <t>基础版158，升级版258</t>
  </si>
  <si>
    <t>2025.4.23</t>
  </si>
  <si>
    <t>总保费5亿元，赔付7亿，140%赔付率
24年二季度累计赔付1050.99万</t>
  </si>
  <si>
    <t>基本医保支付范围外药品和高值医用耗材保障责任（住院+门特）</t>
  </si>
  <si>
    <t>2w</t>
  </si>
  <si>
    <t>2-10w（含）：55%；10w以上：67%；既往症同比下降15%</t>
  </si>
  <si>
    <t>门特可报，同一通用名药品最高限额30w</t>
  </si>
  <si>
    <t>2025.9.19</t>
  </si>
  <si>
    <t>基础版99，升级版150</t>
  </si>
  <si>
    <t>2023.3.10</t>
  </si>
  <si>
    <t>医保范围外药品及耗材医疗保障/诊疗项目医疗服务设施保障</t>
  </si>
  <si>
    <t>1.95w</t>
  </si>
  <si>
    <t>50%，30%（既往症）</t>
  </si>
  <si>
    <t>50万，单药30万</t>
  </si>
  <si>
    <t>不含保健美容减肥药品</t>
  </si>
  <si>
    <t>大连普惠保</t>
  </si>
  <si>
    <t>2025.9.5</t>
  </si>
  <si>
    <t>2025.11.1</t>
  </si>
  <si>
    <t>基础版40岁以下59元，41-60岁89元，61岁以上239元；
升级版40岁以下98元，41-60岁198元，61岁及以上398元</t>
  </si>
  <si>
    <t>基本医保目录外“个人自费”住院医疗费用及日间病房治疗</t>
  </si>
  <si>
    <t>健康体可报60%，既往症可报30%</t>
  </si>
  <si>
    <t>呼伦贝尔</t>
  </si>
  <si>
    <t>融军保</t>
  </si>
  <si>
    <t>2025.9.26</t>
  </si>
  <si>
    <t>基础版：79；升级版：168</t>
  </si>
  <si>
    <t>1.2万 ，续保1w</t>
  </si>
  <si>
    <t>基础版：健康体：30%，既往症：5%；升级版：健康体：60%，既往症：30%</t>
  </si>
  <si>
    <t>威海</t>
  </si>
  <si>
    <t>威你保</t>
  </si>
  <si>
    <t>2025.9.2</t>
  </si>
  <si>
    <t>0-22岁、投保开放日之前的医疗救助对象：39元；
22-60岁：89元；
60岁（含）及以上139元；
2021.9.26-2024.8.31累计赔付2000元以上的150元/人/年。</t>
  </si>
  <si>
    <t>2024.9.2</t>
  </si>
  <si>
    <t>惠及42700人次，理赔超一亿元</t>
  </si>
  <si>
    <t>医保政策范围外住院费用（含职工门诊慢，居民门慢及高值药品费用）</t>
  </si>
  <si>
    <t>1.6万起付</t>
  </si>
  <si>
    <t>0.6-1.6w：健康体可报5%；1.6w-10w：健康体可报60%，既往症可报10%；10-30w：70%，既往症可报20%；30w以上：80%，既往症可报30%</t>
  </si>
  <si>
    <t>含职工门诊慢特、居民特定门诊慢特病及高值药品费用</t>
  </si>
  <si>
    <t>晋康保</t>
  </si>
  <si>
    <t>2025.9.25</t>
  </si>
  <si>
    <t>基础版88，升级版128</t>
  </si>
  <si>
    <t>与目录内住院费共享1.5w，既往症2.5w</t>
  </si>
  <si>
    <t>基础50%尊享60%，续保既往无理赔与特困人群基础版55%尊享65%；尊享版既往症20%，基础版既往不赔</t>
  </si>
  <si>
    <t>仅尊享版是</t>
  </si>
  <si>
    <t>2025.9.22</t>
  </si>
  <si>
    <t>普惠59，升级99,家庭款（家庭3人及以上）99</t>
  </si>
  <si>
    <t>2024.7.5</t>
  </si>
  <si>
    <t>　累计赔付6992.49万（2020-2024.10.31）</t>
  </si>
  <si>
    <t>是，仅升级、家庭版</t>
  </si>
  <si>
    <t>医保目录外个人自费住院医疗费用</t>
  </si>
  <si>
    <t>升级版35%；家庭版40%</t>
  </si>
  <si>
    <t>异地就医赔付比例下降10%</t>
  </si>
  <si>
    <t>绵阳</t>
  </si>
  <si>
    <t>惠绵保</t>
  </si>
  <si>
    <t>2026.10.20</t>
  </si>
  <si>
    <t>普惠版89，优选版129</t>
  </si>
  <si>
    <t>理赔案件2588件，累计赔付金额609.73万元</t>
  </si>
  <si>
    <t>住院医疗费用中全自费费用和超限价费用</t>
  </si>
  <si>
    <t>普惠版：1.7-2万起付；优选版：1.4-1.6万起付</t>
  </si>
  <si>
    <t>普惠版：健康体可报40%，13类既往症可报30%；优选版：0-10w，健康体可报60%，既往症可报40%；10-20万，健康体可报65%，既往症可报45%；20-30万，健康体可报70%，既往症可报50%；30万以上，健康体可报80%，既往症可报60%</t>
  </si>
  <si>
    <t>含门诊特殊重症疾病治疗费用，不含单行支付费用</t>
  </si>
  <si>
    <t>广元</t>
  </si>
  <si>
    <t>元惠保</t>
  </si>
  <si>
    <t>普惠59；升级89</t>
  </si>
  <si>
    <t>2024.8.16</t>
  </si>
  <si>
    <t>累积赔付4267万</t>
  </si>
  <si>
    <t>医保范围外全自费医疗费用</t>
  </si>
  <si>
    <t>新保1.5w，续保1.3w</t>
  </si>
  <si>
    <t>普惠版可报10%；升级版可报15%</t>
  </si>
  <si>
    <t>内江</t>
  </si>
  <si>
    <t>甜惠保</t>
  </si>
  <si>
    <t>2025.9.8</t>
  </si>
  <si>
    <t>普惠59，升级99</t>
  </si>
  <si>
    <t>2024.8.31</t>
  </si>
  <si>
    <t>截止2024.8.31，过去三年累计赔付金额近3585万元；</t>
  </si>
  <si>
    <t>医保目录外住院责任</t>
  </si>
  <si>
    <t>可报20%</t>
  </si>
  <si>
    <t>100万（与医保内共用）</t>
  </si>
  <si>
    <t>红河州</t>
  </si>
  <si>
    <t>红河惠民保</t>
  </si>
  <si>
    <t>1万起付</t>
  </si>
  <si>
    <t>可报30%</t>
  </si>
  <si>
    <t>天一甬宁保</t>
  </si>
  <si>
    <t>2025.9.15</t>
  </si>
  <si>
    <t>2025.12.25</t>
  </si>
  <si>
    <t>100，学生/未成年人50</t>
  </si>
  <si>
    <t>截至2024.12.31，项目整体赔付率超90%</t>
  </si>
  <si>
    <t>住院及特病门诊自费医疗费用保障（含门特）</t>
  </si>
  <si>
    <t>0.6-2w：健康体可报20%，既往症可报10%；2w以上：健康体可报50%，既往25%</t>
  </si>
  <si>
    <t>120w</t>
  </si>
  <si>
    <t>绍兴</t>
  </si>
  <si>
    <t>越惠保</t>
  </si>
  <si>
    <t>基础版100，升级200</t>
  </si>
  <si>
    <t>2024.11.06</t>
  </si>
  <si>
    <t>累计赔付超10.6亿</t>
  </si>
  <si>
    <t>安徽惠民保</t>
  </si>
  <si>
    <t>2025.10.25</t>
  </si>
  <si>
    <t>个人版139，未成年人100，团队版468</t>
  </si>
  <si>
    <t>2023.11.01</t>
  </si>
  <si>
    <t>医保目录外住院自费费用</t>
  </si>
  <si>
    <t>非既往症2w，既往症2.5w</t>
  </si>
  <si>
    <t>非既往症可报40%，既往症可报30%</t>
  </si>
  <si>
    <t>江门</t>
  </si>
  <si>
    <t>邑康保</t>
  </si>
  <si>
    <t>2025.10.28</t>
  </si>
  <si>
    <t>累计赔付超1亿</t>
  </si>
  <si>
    <t>医保范围外住院药品费用</t>
  </si>
  <si>
    <t>连续续保：1.5万；首次/非连续：2万</t>
  </si>
  <si>
    <t>门特可报，江门门特仅包括：放化疗肿瘤（含生物靶向药物）、慢性肾功能不全</t>
  </si>
  <si>
    <t>梅州</t>
  </si>
  <si>
    <t>梅州惠民保</t>
  </si>
  <si>
    <t>2025.10.21</t>
  </si>
  <si>
    <t>2025.12.19</t>
  </si>
  <si>
    <t>35岁以下100，35岁以上150</t>
  </si>
  <si>
    <t>2022.11.17</t>
  </si>
  <si>
    <t>2025.1-6月累积赔付2389.89万元</t>
  </si>
  <si>
    <t>个人自费住院费用保障（医保政策外）</t>
  </si>
  <si>
    <t>含个人先行自付部分</t>
  </si>
  <si>
    <t>河北全省</t>
  </si>
  <si>
    <t>燕赵健康保</t>
  </si>
  <si>
    <t>2025.10.18</t>
  </si>
  <si>
    <t>基础版：88元；升级版168元</t>
  </si>
  <si>
    <t>1.5万（2.5万 既往）</t>
  </si>
  <si>
    <t>基础版：非既往症可报30%；升级版：非既往症可报50%，既往症可报15%</t>
  </si>
  <si>
    <t>是（仅升级版）</t>
  </si>
  <si>
    <t>河北医惠保</t>
  </si>
  <si>
    <t>0-20岁——99元/人/年；21-50岁——139元/人/年；51岁及以上——179元/人/年</t>
  </si>
  <si>
    <t>2025.11.24</t>
  </si>
  <si>
    <t>医保外住院责任（含乙类个人自付，丙类自费）</t>
  </si>
  <si>
    <t>非既往症1.5万元/既往症2.5万元</t>
  </si>
  <si>
    <t>非既往症人群60%；特定既往症人群15%</t>
  </si>
  <si>
    <t>二级及二级以上医保定点医疗机构的普通部</t>
  </si>
  <si>
    <t>唐山</t>
  </si>
  <si>
    <t>惠唐保</t>
  </si>
  <si>
    <t>2025.10.29</t>
  </si>
  <si>
    <t>普惠版129；青少年99</t>
  </si>
  <si>
    <t>赔付2.39亿元（24.11.6）</t>
  </si>
  <si>
    <t>基础保障（自费仅含住院）+大病保障（仅住院）</t>
  </si>
  <si>
    <t>基础保障（自费仅住院）：非既往症：2w；既往症：3.5w。大病保障：5000元</t>
  </si>
  <si>
    <t>基础保障（自费仅住院）：非既往症：起付线-5w,40%；5w+，80%；既往症：20%。大病保障：5000元-5w，30%，5-20w，60%，20w+，90%</t>
  </si>
  <si>
    <t>自费仅住院</t>
  </si>
  <si>
    <t>龙江惠民保</t>
  </si>
  <si>
    <t>150元/年</t>
  </si>
  <si>
    <t>一站式+特药报销</t>
  </si>
  <si>
    <t>2023.1.1-2025.6.30累积赔付13.06亿元</t>
  </si>
  <si>
    <t>1.5-2.2万35%，2.2万+70%；（异地就医15%，50%）
既往症1.5-2.2万25%，2.2万+35%；（异地就医15%，25%%）</t>
  </si>
  <si>
    <t>荆门</t>
  </si>
  <si>
    <t>惠荆保</t>
  </si>
  <si>
    <t>2025.10.22</t>
  </si>
  <si>
    <t>23年-25.6，累计赔付3587万元</t>
  </si>
  <si>
    <t>医保报销范围外住院&amp;门诊慢特病自付费用</t>
  </si>
  <si>
    <t>医保报销范围外住院：非既往症可报50%，既往症可报30%；门诊慢特病自付费用：非既往症可报60%，既往症可报30%</t>
  </si>
  <si>
    <t>有门诊特病</t>
  </si>
  <si>
    <t>宜昌</t>
  </si>
  <si>
    <t>宜昌市民保</t>
  </si>
  <si>
    <t>累计赔付金额3670.51（2024.11.25）</t>
  </si>
  <si>
    <t>个人负担基本医保目录外自费费用（+门诊特殊慢病）</t>
  </si>
  <si>
    <t>非约定既往症55%；约定既往症25％</t>
  </si>
  <si>
    <t>有门特，不含特药目录药品</t>
  </si>
  <si>
    <t>湖南医惠保</t>
  </si>
  <si>
    <t>128元起</t>
  </si>
  <si>
    <t>政策外住院医疗费用保险金</t>
  </si>
  <si>
    <t>1.5万元</t>
  </si>
  <si>
    <t>1.5W-2W,10%;2-3W,,20%;3-5W 30%; 5-10W 40%;10-30W,50%;30-50W, 60%;50-100W,70%;100W以上, 80%</t>
  </si>
  <si>
    <t>既往症和非既往症相同</t>
  </si>
  <si>
    <t>无锡</t>
  </si>
  <si>
    <t>医惠锡城</t>
  </si>
  <si>
    <t>2025.10.1</t>
  </si>
  <si>
    <t>普惠版99，升级版178</t>
  </si>
  <si>
    <t>2025.10.10</t>
  </si>
  <si>
    <t>60-70%</t>
  </si>
  <si>
    <t>截至2025.9.10累积保障364w人，赔付超2.33亿元</t>
  </si>
  <si>
    <t>个人住院自费医疗费用（目录外）/院内自费创新药品费用</t>
  </si>
  <si>
    <t>个人住院自费医疗费用：普惠版：1.8w，连续参保且未赔付1.6w；升级版：1.8w，连续参保且未赔付1.6w，保障期内确诊13种恶性肿瘤免赔额0元。院内自费创新药品费用：0免赔</t>
  </si>
  <si>
    <t>70%，20%（既往症）</t>
  </si>
  <si>
    <t>各100w</t>
  </si>
  <si>
    <t>无锡三级公立医保定点医院</t>
  </si>
  <si>
    <t>基础版99，升级版199</t>
  </si>
  <si>
    <t>2024.02.02</t>
  </si>
  <si>
    <t>住院自费医疗费用补偿保险金</t>
  </si>
  <si>
    <t>升级版：2w；基础版：3w</t>
  </si>
  <si>
    <t xml:space="preserve">基础版：（3-10w）40%既往20%；（10w以上）70%，既往症30%；
升级版：（2-10w）50%既往25%；（10w以上）70%，既往症30%，特定被保险人在2w以上部分再加10%
</t>
  </si>
  <si>
    <t>有白名单但多年未调整</t>
  </si>
  <si>
    <t>2023.1.1</t>
  </si>
  <si>
    <t>67.39%，总赔付金额3036万</t>
  </si>
  <si>
    <t>医保报销范围外住院（含门特）</t>
  </si>
  <si>
    <t>退役军人家庭“防癌抗癌专属保险卡”</t>
  </si>
  <si>
    <t>当月办理，次月1日生效</t>
  </si>
  <si>
    <t>经典版：39；优享版：69</t>
  </si>
  <si>
    <t>否。可保人群：退役军人及家属（配偶、子女、父母、配偶父母）；三属（烈士遗属、因公牺牲军人家属、病故军人遗属）</t>
  </si>
  <si>
    <t>2025.10.12</t>
  </si>
  <si>
    <t>“普惠民生版（保费69元）”和“美好生活版（保费168元）”</t>
  </si>
  <si>
    <t>住院及门诊慢特病基本医保统筹范围外部分药品费用</t>
  </si>
  <si>
    <t>1.2w-1.7w：20%，既往10%；1.7w-3.5w，45%，既往25%；3.5w以上，55%</t>
  </si>
  <si>
    <t>有白名单（2000）</t>
  </si>
  <si>
    <t>2025.10.20</t>
  </si>
  <si>
    <t>2023.7.31</t>
  </si>
  <si>
    <t>截止2024年11月底，淄博齐惠保累计参保超过600万人次，理赔支出5.48亿，已完成理赔的前三期产品整体赔付率达111%、</t>
  </si>
  <si>
    <t>2万（低保、特困1万）；直系亲属同时参保第一个免赔额2w，第二个免赔额1w，剩余0元</t>
  </si>
  <si>
    <t>1.合规费用2-5w60%；5-10w70%；10-20w80%；20w及以上90%；2.22周岁以下合规费用2-5w70%；5-10w80%，10w以上90%；3.重大既往症50%</t>
  </si>
  <si>
    <t>有药品清单</t>
  </si>
  <si>
    <t>日照</t>
  </si>
  <si>
    <t>日照暖心保</t>
  </si>
  <si>
    <t>79（0-20周岁）；109（21-60周岁）；139（61周岁以上）</t>
  </si>
  <si>
    <t>前4期总参保160万人</t>
  </si>
  <si>
    <t>济宁</t>
  </si>
  <si>
    <t>济惠保</t>
  </si>
  <si>
    <t>2025.10.16</t>
  </si>
  <si>
    <t>上线来守护295w人，累积赔付2.54亿元</t>
  </si>
  <si>
    <t>医保报销范围外医疗保障（乙类自付-住院+门慢特+丙类自费-住院）</t>
  </si>
  <si>
    <t>乙类自付：非既往症可报60%，既往症可报30%；丙类自费：飞机网站可报20%，既往症可报10%</t>
  </si>
  <si>
    <t>乙类100w，丙类50w</t>
  </si>
  <si>
    <t>乙类自付：住院+门慢特均可报；丙类自费：仅住院可报</t>
  </si>
  <si>
    <t>东营</t>
  </si>
  <si>
    <t>东营惠民保</t>
  </si>
  <si>
    <t>2025.12.12</t>
  </si>
  <si>
    <t>基本医保报销范围外住院（含门慢）医疗费用保障</t>
  </si>
  <si>
    <t>陕西全民健康保</t>
  </si>
  <si>
    <t>基础款89，升级款169</t>
  </si>
  <si>
    <t>累计赔付金额3.67亿元</t>
  </si>
  <si>
    <t>升级款：非既往症1.7万（与院外责任共用），既往症1.9万；基础款：非既往症1.9万（与院外责任共用），既往症2.5万</t>
  </si>
  <si>
    <t>升级款：非既往症可报60%，既往症可报30%；；
基础款：非既往症可报35%，既往症可报10%</t>
  </si>
  <si>
    <t>升级款120万，基础款50万</t>
  </si>
  <si>
    <t>有负面清单</t>
  </si>
  <si>
    <t>宜宾</t>
  </si>
  <si>
    <t>惠宜保</t>
  </si>
  <si>
    <t>基础版：59：升级版：99</t>
  </si>
  <si>
    <t>医保范围外个人自费住院医疗费用</t>
  </si>
  <si>
    <t>基础版：1.8w；升级版：非既往症1.6w，既往症1.8w</t>
  </si>
  <si>
    <t>基础版：非既往症20%，既往症10%
升级版：非既往症：1.6w-5w，20% ；5w-10w，30%； 10w+，40%；既往症：1.8-5w，10%；5-10w，20%；10w+，30%</t>
  </si>
  <si>
    <t>德e保</t>
  </si>
  <si>
    <t>基本医疗保险范围外的其他住院医疗费用</t>
  </si>
  <si>
    <t xml:space="preserve"> 未参保德阳职工大额医疗费用补助，也未参保德阳城乡居民补充医疗保险的，以及新市民参保2025年度德e保的：
· 2025年度德e保年度免赔额为16000元。
- 参保了德阳职工大额医疗费用补助，或者参保了德阳城乡居民补充医疗保险的：
· 对于未参加2024年度德e保的，2025年度德e保年免赔额为13000元；
· 对于参加了2024年度德e保的，2025年度德e保年免赔额为12000元。</t>
  </si>
  <si>
    <t>白名单外，个人自付部分可报50%，超适应症个人自付可报20%；白名单内，个人自付部分可报80%</t>
  </si>
  <si>
    <t>360万（共用）</t>
  </si>
  <si>
    <t>有目录</t>
  </si>
  <si>
    <t>仅住院可报</t>
  </si>
  <si>
    <t>天津惠民保</t>
  </si>
  <si>
    <t>2025.10.11</t>
  </si>
  <si>
    <t>2026.9.30</t>
  </si>
  <si>
    <t>150；家庭、团体参保135</t>
  </si>
  <si>
    <t>住院+门诊特殊病基本医疗保险范围外</t>
  </si>
  <si>
    <t>1.7w</t>
  </si>
  <si>
    <t>120万（新市民单一药品报销上限30w；单一植体或耗材报销上限10w）</t>
  </si>
  <si>
    <t>住院+门诊特殊病</t>
  </si>
  <si>
    <t>怒江</t>
  </si>
  <si>
    <t>怒江惠民保</t>
  </si>
  <si>
    <t>基础版80；升级版120</t>
  </si>
  <si>
    <t>基本医保范围外住院责任（含门特）</t>
  </si>
  <si>
    <t>基础版：1.4万；升级版：1.2万</t>
  </si>
  <si>
    <t>基础版：可报50%；升级版：可报30%</t>
  </si>
  <si>
    <t>有门特，医保结算单上列名的全自费、超限价自费，不含特药责任覆盖的药品。恶性肿瘤不包括。</t>
  </si>
  <si>
    <t>大理</t>
  </si>
  <si>
    <t>大理惠民保</t>
  </si>
  <si>
    <t>基础版79，升级版129</t>
  </si>
  <si>
    <t>截至2025.9，累积参保49万人</t>
  </si>
  <si>
    <t>基础版：非既往症可报20%，既往症可报15%；升级版：非既往症可报40%，既往症可报30%</t>
  </si>
  <si>
    <t>台州利民保</t>
  </si>
  <si>
    <t>2026.1.25</t>
  </si>
  <si>
    <t>基础版：100元；升级版：200元</t>
  </si>
  <si>
    <t>2024.8.23</t>
  </si>
  <si>
    <t>保费25393.218w赔付金额23931.3886w</t>
  </si>
  <si>
    <t>合理自费费用保障</t>
  </si>
  <si>
    <t>基础版：0.5-2w，5%；2-5w，27%，5+，45%；升级版0.5-2w，5%；2-5w，37%，5+，55%</t>
  </si>
  <si>
    <t>50w，连续三年参保100w</t>
  </si>
  <si>
    <t>住院或特殊病种门诊发生的医保目录内的自付费用，以及住院发生的医保目录外的合理资费费用。单价超出3w的部分不纳入报销。</t>
  </si>
  <si>
    <t>嘉兴大病无忧</t>
  </si>
  <si>
    <t>基础版100；升级版150</t>
  </si>
  <si>
    <t>截至2025.6.20赔付22646.88w</t>
  </si>
  <si>
    <t>住院（含特殊病种门诊）自费费用保障</t>
  </si>
  <si>
    <t>0.1万</t>
  </si>
  <si>
    <t>基础版：0.1-1.5万：20%；1.5万以上：40%；升级版：1-1.5万：60%；1.5万以上：80%</t>
  </si>
  <si>
    <t>基础40万，升级100万</t>
  </si>
  <si>
    <t>有门特</t>
  </si>
  <si>
    <t>舟山</t>
  </si>
  <si>
    <t>舟惠保</t>
  </si>
  <si>
    <t xml:space="preserve">100/人，未成年人及市内在校学生50
</t>
  </si>
  <si>
    <t>一站式理赔</t>
  </si>
  <si>
    <t>2024.08.12</t>
  </si>
  <si>
    <t>3/12记录理赔率</t>
  </si>
  <si>
    <t>住院和特殊门诊自费药品</t>
  </si>
  <si>
    <t>0.3万</t>
  </si>
  <si>
    <t>0.3-0.6 10%（参保&lt;3年）12%（参保&gt;3年）
0.6-1 20%（参保&lt;3年）25%（参保&gt;3年）
&gt;1W 30%（参保&lt;3年）35%（参保&gt;3年）</t>
  </si>
  <si>
    <t>50万（参保&lt;3年）
80万（参保&gt;3年）</t>
  </si>
  <si>
    <t>门诊特殊疾病可报销，单价5000元以下自费药可以报销</t>
  </si>
  <si>
    <t>北京普惠健康保</t>
  </si>
  <si>
    <t>2025.11.3</t>
  </si>
  <si>
    <t>特药一站式</t>
  </si>
  <si>
    <t>4年累积1500w</t>
  </si>
  <si>
    <t>医保外责任</t>
  </si>
  <si>
    <t>连续三年参保且无出险记录的被保险人免赔0.5w（既往人群1.5w）
其余被保险人：1.5w；既往2w</t>
  </si>
  <si>
    <t>健康70%，既往35%</t>
  </si>
  <si>
    <t>100万，单一药品报销上限30万</t>
  </si>
  <si>
    <t>湖州</t>
  </si>
  <si>
    <t>南太湖健康保</t>
  </si>
  <si>
    <t>总赔款6.74亿元（截止2024.10.31）</t>
  </si>
  <si>
    <t>住院及特殊病种门诊自付费用保障</t>
  </si>
  <si>
    <t>基础版：单次：0.5-1w，10%；1-4w，15%；4w+，25%；累积：2w+，10%。省级版：单次：0.5-1w，15%；1-4w，20%；4w+，40%；累积：2w+，15%。</t>
  </si>
  <si>
    <t>基础版：20w；升级版：50w</t>
  </si>
  <si>
    <t>潍坊</t>
  </si>
  <si>
    <t>潍坊惠民保</t>
  </si>
  <si>
    <t>149，23周岁以下99，医疗救助对象为30元</t>
  </si>
  <si>
    <t>4年累积参保人477w</t>
  </si>
  <si>
    <t>医保支付范围外自费费用</t>
  </si>
  <si>
    <t>12%，既往7%</t>
  </si>
  <si>
    <t>80w</t>
  </si>
  <si>
    <t>异地降低5%，门诊限制在慢特病</t>
  </si>
  <si>
    <t>2025.12.26</t>
  </si>
  <si>
    <t>2026.12.25</t>
  </si>
  <si>
    <t>66/99</t>
  </si>
  <si>
    <t>累积守护150w，累积赔付8000w</t>
  </si>
  <si>
    <t>是，可选10元加油包</t>
  </si>
  <si>
    <t>住院合规药品费用</t>
  </si>
  <si>
    <t>10岁以下：500元，10岁以上1万</t>
  </si>
  <si>
    <t>非既往症50%</t>
  </si>
  <si>
    <t>10岁以下：600元，10岁以上300元</t>
  </si>
  <si>
    <t>否，严重既往症不赔付</t>
  </si>
  <si>
    <t>潜江</t>
  </si>
  <si>
    <t>潜江惠民保</t>
  </si>
  <si>
    <t>2025.11.4</t>
  </si>
  <si>
    <t>医保政策范围外费用</t>
  </si>
  <si>
    <t>非既往症可报40%，既往症可报20%</t>
  </si>
  <si>
    <t>120万</t>
  </si>
  <si>
    <t>2021—2023年赔付金额分别为4.72亿元、6.24亿元、5.2亿元，三年总体赔付率为80.3%。（202412）</t>
  </si>
  <si>
    <t>住院合规药品费用和检验检查费用；</t>
  </si>
  <si>
    <t>1.6万，连续2年获赔0元 1.5w，连续3年获赔0元 1.4w</t>
  </si>
  <si>
    <t>渝快保</t>
  </si>
  <si>
    <t>普惠款69
升级款169</t>
  </si>
  <si>
    <t>2024.9.8</t>
  </si>
  <si>
    <t>24年二季度累计赔付1050.99万；发售以来累计赔付超166.95万人，赔付金额超15亿元</t>
  </si>
  <si>
    <t>住院和特病门诊医疗费用</t>
  </si>
  <si>
    <t>1.4w</t>
  </si>
  <si>
    <t>普惠版：新发55%，既往10%；升级版：新发80%，既往30%</t>
  </si>
  <si>
    <t>300万</t>
  </si>
  <si>
    <t>住院+门特</t>
  </si>
  <si>
    <t>烟台市民健康保</t>
  </si>
  <si>
    <t>累积参保320w，累积赔付近3亿元</t>
  </si>
  <si>
    <t>医保范围外住院自费部分（乙类先行自付、自费、医保外适应症自费、）</t>
  </si>
  <si>
    <t>兰州</t>
  </si>
  <si>
    <t>金城惠医保</t>
  </si>
  <si>
    <t>2025.11.17</t>
  </si>
  <si>
    <t>个人自费住院医疗费用（含乙类个人自付、丙类）</t>
  </si>
  <si>
    <t>1.6万</t>
  </si>
  <si>
    <t>小于2万：20%，2-5万：30%，5万以上：40%。四大既往疾病可报25%</t>
  </si>
  <si>
    <t>四大类既往重疾：赔付25%
升级版的0-18周岁赔付30%</t>
  </si>
  <si>
    <t>咸宁</t>
  </si>
  <si>
    <t>咸惠保</t>
  </si>
  <si>
    <t>2025.11.14</t>
  </si>
  <si>
    <t>累积保障93.4w人，累积赔付7012.67w</t>
  </si>
  <si>
    <t>医保目录外住院自费</t>
  </si>
  <si>
    <t>1.7万</t>
  </si>
  <si>
    <t>（1.7-5w）55%既往20%；（5-10w）65%，既往症25%；（10w以上）75%，既往症30%</t>
  </si>
  <si>
    <t>有负面清单，不包括中草药，保健药品</t>
  </si>
  <si>
    <t>韶关</t>
  </si>
  <si>
    <t>韶关市民保</t>
  </si>
  <si>
    <t>2025.11.6</t>
  </si>
  <si>
    <t>2026.2.1</t>
  </si>
  <si>
    <t>2027.1.31</t>
  </si>
  <si>
    <t>基础版66
升级版119</t>
  </si>
  <si>
    <t>仅升级版</t>
  </si>
  <si>
    <t>住院或门诊特定病种</t>
  </si>
  <si>
    <t>肿瘤否，其他是</t>
  </si>
  <si>
    <t>特病门诊可报销。恶性肿瘤（白血病、血液肿瘤）既往症不报。</t>
  </si>
  <si>
    <t>.</t>
  </si>
  <si>
    <t>2025.11.5</t>
  </si>
  <si>
    <t>一站式结算</t>
  </si>
  <si>
    <t>住院合规药品费用和检验检查费用</t>
  </si>
  <si>
    <t>阳江</t>
  </si>
  <si>
    <t>阳江惠民保</t>
  </si>
  <si>
    <t>2024.11.11</t>
  </si>
  <si>
    <t>基础版59，升级版99，尊享版129</t>
  </si>
  <si>
    <t>2025.11.8</t>
  </si>
  <si>
    <t>四年累积参保160万</t>
  </si>
  <si>
    <t>基本医保范围外药品费用+检验检查费用</t>
  </si>
  <si>
    <t>有负面清单——中药饮片药材、保健品、健康咨询</t>
  </si>
  <si>
    <t>汕头</t>
  </si>
  <si>
    <t>汕头惠民保</t>
  </si>
  <si>
    <t>住院全自费药品费用保障-住院使用目录外药品、C目录药品、港澳药械通药品）</t>
  </si>
  <si>
    <t>可报30%，C目录药品报40%</t>
  </si>
  <si>
    <t>10万元</t>
  </si>
  <si>
    <t>住院使用目录外药品、C目录药品、港澳药械通药品）</t>
  </si>
  <si>
    <t>镇江惠民保</t>
  </si>
  <si>
    <t>基础版99，升级版299</t>
  </si>
  <si>
    <t>2022.12.26</t>
  </si>
  <si>
    <t>医保目录外个人自费费用保障</t>
  </si>
  <si>
    <t>基础版：非既往症可报60%，既往症1.5-10万可报25%，10万以上可报40%；升级版：非既往症可报70%，既往症1.5-10万可报45%，10万以上可报60%</t>
  </si>
  <si>
    <t>基础版：50万；升级版：100万</t>
  </si>
  <si>
    <t>楚雄</t>
  </si>
  <si>
    <t>楚雄惠民保</t>
  </si>
  <si>
    <t>基础版40岁以下78元，40岁以上98元，升级版40岁以下138，40岁以上168元</t>
  </si>
  <si>
    <t>累积赔付金额4933万。四年累积参保62.69万人</t>
  </si>
  <si>
    <t>住院医疗费用（医保政策范围外）</t>
  </si>
  <si>
    <t>基础版1.3万，升级版1万</t>
  </si>
  <si>
    <t>非既往症1.3-2w可报20%，2w以上可报40%；既往症1.3-2w可报10%，2w以上可报30%；</t>
  </si>
  <si>
    <t>基础版150W，升级版200W</t>
  </si>
  <si>
    <t>茂名好心保</t>
  </si>
  <si>
    <t>2025.11.12</t>
  </si>
  <si>
    <t>基础版59
升级版99</t>
  </si>
  <si>
    <t>基本医疗保险政策范围外药品费用和检验检查费用</t>
  </si>
  <si>
    <t>是，但首保前的严重既往症不赔付</t>
  </si>
  <si>
    <t>山东新民保</t>
  </si>
  <si>
    <t>2025.11.7</t>
  </si>
  <si>
    <t>2025.12.30</t>
  </si>
  <si>
    <t>69/99/159</t>
  </si>
  <si>
    <t>2021.11.17</t>
  </si>
  <si>
    <t>医保目录外自费费用保险金（含特药门诊，不含所有外配）</t>
  </si>
  <si>
    <t>0-40岁：1.5万；40+：1.8万</t>
  </si>
  <si>
    <t>否，6类重大既往症不赔付</t>
  </si>
  <si>
    <t>西湖益联保</t>
  </si>
  <si>
    <t>150，升级版300</t>
  </si>
  <si>
    <t>医保目录外治疗必需且合理费用补充医疗保障</t>
  </si>
  <si>
    <t>1-6万30%；6-10万50%；10万+70%</t>
  </si>
  <si>
    <t>既往有白名单，且单价5000元以下自费药可以报销</t>
  </si>
  <si>
    <t>住院+门特。须符合指定药品目录</t>
  </si>
  <si>
    <t>中山</t>
  </si>
  <si>
    <t>中山博爱康</t>
  </si>
  <si>
    <t>一站式+特定范围报销</t>
  </si>
  <si>
    <t>2024.06.30</t>
  </si>
  <si>
    <t>30.03%；
截至24.6.30最高赔付726898.19元</t>
  </si>
  <si>
    <t>住院目录外合规医疗费用</t>
  </si>
  <si>
    <t>基本医疗保险一档参保人：2万
基本医疗保险二档参保人：1.5万</t>
  </si>
  <si>
    <t>1.2-1.7w可报30%，1.7w以上可报60%</t>
  </si>
  <si>
    <t>不含中药饮片，</t>
  </si>
  <si>
    <t>自费材料年度支付额度为5w，</t>
  </si>
  <si>
    <t>随州</t>
  </si>
  <si>
    <t>惠随保</t>
  </si>
  <si>
    <t>2023.2.3</t>
  </si>
  <si>
    <t>基础版：2w；升级版：1.8w</t>
  </si>
  <si>
    <t>基础版：健康体可报60%，既往症可报30%。升级版：健康体可报60%，既往症可报20%</t>
  </si>
  <si>
    <t>基础版：50w；升级版 100w</t>
  </si>
  <si>
    <t>2025.11.10</t>
  </si>
  <si>
    <t>普惠版76；尊享版150</t>
  </si>
  <si>
    <t>累积赔付2238w，共64W</t>
  </si>
  <si>
    <t>基本医疗保险范围外住院医疗费用
尊享版：医保内+医保外</t>
  </si>
  <si>
    <t>普惠版：1.5w；尊享版1.9w
尊享版：住院内+住院外 2w</t>
  </si>
  <si>
    <t xml:space="preserve">基础版：非既往症30%，既往症10%；尊享版：1.9-5w 非既往症可报10%，既往症可报5%；5-10w，非既往症可报15%，既往症可报10%；10-20w，非既往症可报25%，既往症可报20%；20万以上，非既往症可报40%，既往症可报30%
</t>
  </si>
  <si>
    <t>云浮云福保</t>
  </si>
  <si>
    <t>2025.11.13</t>
  </si>
  <si>
    <t>报销/一站式</t>
  </si>
  <si>
    <t>2024.02.01</t>
  </si>
  <si>
    <t>基本医疗保险政策外药品费用和检验检查费用</t>
  </si>
  <si>
    <t>60岁以下1.5w
60岁以上2万</t>
  </si>
  <si>
    <t>50%，续保60%</t>
  </si>
  <si>
    <t>来宾</t>
  </si>
  <si>
    <t>来宾惠民保</t>
  </si>
  <si>
    <t>2025.12.11</t>
  </si>
  <si>
    <t>79，续保76</t>
  </si>
  <si>
    <t>累计赔付804w（截止2024年9月末）</t>
  </si>
  <si>
    <t>1.8w</t>
  </si>
  <si>
    <t>健康体可报25%，既往症可报10%</t>
  </si>
  <si>
    <t>广州惠民保</t>
  </si>
  <si>
    <t>49/149</t>
  </si>
  <si>
    <t>累积赔付8471万</t>
  </si>
  <si>
    <t>医保政策外住院和特定门诊医疗费用</t>
  </si>
  <si>
    <t>衢州</t>
  </si>
  <si>
    <t>惠衢保</t>
  </si>
  <si>
    <t>普惠版：100；升级版：150</t>
  </si>
  <si>
    <t>总保费1.8亿（2024.11.11）</t>
  </si>
  <si>
    <t>住院自费费用保障</t>
  </si>
  <si>
    <t>0.3w</t>
  </si>
  <si>
    <t>普惠版：0.3-2w可报20%，2w+可报40%；升级版：0.3-2w可报30%，2w+可报60%；</t>
  </si>
  <si>
    <t>50w/75w</t>
  </si>
  <si>
    <t>惠州惠医保</t>
  </si>
  <si>
    <t>累计赔付金额超2.3亿，累积覆盖56.62w人次</t>
  </si>
  <si>
    <t>个人自负比例部分和自费部分保障（医保政策外）</t>
  </si>
  <si>
    <t>1.2万（不含）-10万（含）50%，10万（不含）以上 70%</t>
  </si>
  <si>
    <t>肇庆</t>
  </si>
  <si>
    <t>肇福保</t>
  </si>
  <si>
    <t>2024.11.7</t>
  </si>
  <si>
    <t>自2022年以来，累计赔付金额近1.61亿（24.11.22）</t>
  </si>
  <si>
    <t>二次报销（含目录内自付及目录外自费）</t>
  </si>
  <si>
    <t>3.8万</t>
  </si>
  <si>
    <t>住院1.2w-3.8w可报200元。健康体：3.8w以上（住院+门特）可报50%，严重既往症25%</t>
  </si>
  <si>
    <t>德州</t>
  </si>
  <si>
    <t>德州惠民保</t>
  </si>
  <si>
    <t>2026.1.20</t>
  </si>
  <si>
    <t>年龄60岁以下79、60岁及以上99</t>
  </si>
  <si>
    <t>2023.11.15</t>
  </si>
  <si>
    <t>截至2024.7.31，累计理赔1545.01w</t>
  </si>
  <si>
    <t>菏泽</t>
  </si>
  <si>
    <t>惠菏保</t>
  </si>
  <si>
    <t>2025.11.26</t>
  </si>
  <si>
    <t>2025.3.17</t>
  </si>
  <si>
    <t>49（小于22岁）；89（22-50岁）；149（50岁以上）</t>
  </si>
  <si>
    <t>3年理赔 近2亿%</t>
  </si>
  <si>
    <t>医保范围外住院医疗费用保险金</t>
  </si>
  <si>
    <t>健康体：1.5-5万20%，5-10万40%，10万以上60%。既往症：1.5-5万10%，5-10万20%，10万以上30%</t>
  </si>
  <si>
    <t>主要乙类自付+住院自费（正面清单2000种）</t>
  </si>
  <si>
    <t xml:space="preserve">广东 </t>
  </si>
  <si>
    <t>健康佛医保</t>
  </si>
  <si>
    <t>2025.11.28</t>
  </si>
  <si>
    <t>医保目录范围外个人自费费用补偿</t>
  </si>
  <si>
    <t>分管范围</t>
  </si>
  <si>
    <t>LMA DM</t>
  </si>
  <si>
    <t>LMA RM</t>
  </si>
  <si>
    <t>上海(医保)</t>
  </si>
  <si>
    <t>李韡</t>
  </si>
  <si>
    <t>东区
陈余师</t>
  </si>
  <si>
    <t>上海(卫生)</t>
  </si>
  <si>
    <t>蔡运运</t>
  </si>
  <si>
    <t>省级(医保)；南京市、无锡市</t>
  </si>
  <si>
    <t>史君</t>
  </si>
  <si>
    <t>省级(卫生)；苏州市、常州市</t>
  </si>
  <si>
    <t>林冰婕</t>
  </si>
  <si>
    <t>省级；合肥市、芜湖市</t>
  </si>
  <si>
    <t>周莹</t>
  </si>
  <si>
    <t>省级；郑州市、洛阳市</t>
  </si>
  <si>
    <t>张金对</t>
  </si>
  <si>
    <t>省级(医保)；杭州市、金华市、湖州市</t>
  </si>
  <si>
    <t>黄星江</t>
  </si>
  <si>
    <t>省级(卫生)；宁波市、温州市、台州市</t>
  </si>
  <si>
    <t>王锐锋</t>
  </si>
  <si>
    <t>省级；南昌市、赣州市、九江市</t>
  </si>
  <si>
    <t>省级；福州市、厦门市、泉州市</t>
  </si>
  <si>
    <t>叶静怡</t>
  </si>
  <si>
    <t>南区
左润秋</t>
  </si>
  <si>
    <t>省级(医保)；佛山市、东莞市</t>
  </si>
  <si>
    <t>符智伟</t>
  </si>
  <si>
    <t>省级(卫生)；广州市、深圳市</t>
  </si>
  <si>
    <t>吴华美</t>
  </si>
  <si>
    <t>省级；南宁市</t>
  </si>
  <si>
    <t>黎柱芳</t>
  </si>
  <si>
    <t>省级；海口市</t>
  </si>
  <si>
    <t>省级；昆明市</t>
  </si>
  <si>
    <t>卢颖</t>
  </si>
  <si>
    <t>省级；贵阳市</t>
  </si>
  <si>
    <t>全市</t>
  </si>
  <si>
    <t>唐英</t>
  </si>
  <si>
    <t>西区 
倪茜</t>
  </si>
  <si>
    <t>省级；兰州市</t>
  </si>
  <si>
    <t>省级；银川市</t>
  </si>
  <si>
    <t>杨敏</t>
  </si>
  <si>
    <t>省级；西安市</t>
  </si>
  <si>
    <t>省级；西宁市</t>
  </si>
  <si>
    <t>庞亮</t>
  </si>
  <si>
    <t>省级；乌鲁木齐市</t>
  </si>
  <si>
    <t>西藏</t>
  </si>
  <si>
    <t>省级；拉萨市</t>
  </si>
  <si>
    <t>刁菲</t>
  </si>
  <si>
    <t>省级；成都市</t>
  </si>
  <si>
    <t>省级；长沙市、衡阳市、邵阳市</t>
  </si>
  <si>
    <t>谭湘琳</t>
  </si>
  <si>
    <t>省级；武汉市、襄阳市、宜昌市</t>
  </si>
  <si>
    <t>张璐璐</t>
  </si>
  <si>
    <t>北京(医保)</t>
  </si>
  <si>
    <t>吴仲彬</t>
  </si>
  <si>
    <t>北区
黄倩</t>
  </si>
  <si>
    <t>孙颖</t>
  </si>
  <si>
    <t>省级；石家庄市、唐山市</t>
  </si>
  <si>
    <t>和明明</t>
  </si>
  <si>
    <t>省级；哈尔滨市</t>
  </si>
  <si>
    <t>刘欣婷</t>
  </si>
  <si>
    <t>省级；长春市</t>
  </si>
  <si>
    <t>省级；沈阳市、大连市</t>
  </si>
  <si>
    <t>梁艳</t>
  </si>
  <si>
    <t>省级；济南市、青岛市</t>
  </si>
  <si>
    <t>王莉辉</t>
  </si>
  <si>
    <t>省级；太原市</t>
  </si>
  <si>
    <t>阎向东</t>
  </si>
  <si>
    <t>省级；呼和浩特市</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</si>
</sst>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0.0%"/>
    <numFmt numFmtId="178" formatCode="yyyy&quot;年&quot;m&quot;月&quot;d&quot;日&quot;;@"/>
  </numFmts>
  <fonts count="58">
    <font>
      <sz val="11"/>
      <name val="等线"/>
      <charset val="134"/>
    </font>
    <font>
      <b/>
      <sz val="12"/>
      <color rgb="FF000000"/>
      <name val="微软雅黑"/>
      <charset val="134"/>
    </font>
    <font>
      <sz val="12"/>
      <color rgb="FF000000"/>
      <name val="微软雅黑"/>
      <charset val="134"/>
    </font>
    <font>
      <b/>
      <sz val="12"/>
      <name val="微软雅黑"/>
      <charset val="134"/>
    </font>
    <font>
      <sz val="10"/>
      <color rgb="FF000000"/>
      <name val="微软雅黑"/>
      <charset val="134"/>
    </font>
    <font>
      <b/>
      <sz val="8"/>
      <name val="Microsoft YaHei UI Light"/>
      <charset val="134"/>
    </font>
    <font>
      <sz val="8"/>
      <name val="Microsoft YaHei UI Light"/>
      <charset val="134"/>
    </font>
    <font>
      <sz val="8"/>
      <color theme="1"/>
      <name val="Microsoft YaHei UI Light"/>
      <charset val="134"/>
    </font>
    <font>
      <sz val="8"/>
      <color rgb="FF000000"/>
      <name val="Microsoft YaHei UI Light"/>
      <charset val="134"/>
    </font>
    <font>
      <b/>
      <sz val="8"/>
      <color theme="1"/>
      <name val="Microsoft YaHei UI Light"/>
      <charset val="134"/>
    </font>
    <font>
      <sz val="8"/>
      <color rgb="FFFF0000"/>
      <name val="Microsoft YaHei UI Light"/>
      <charset val="134"/>
    </font>
    <font>
      <sz val="8"/>
      <color rgb="FF242424"/>
      <name val="Microsoft YaHei UI Light"/>
      <charset val="134"/>
    </font>
    <font>
      <sz val="8"/>
      <color rgb="FF000000"/>
      <name val="Microsoft YaHei UI"/>
      <charset val="134"/>
    </font>
    <font>
      <sz val="10"/>
      <color theme="1"/>
      <name val="等线"/>
      <charset val="134"/>
      <scheme val="minor"/>
    </font>
    <font>
      <b/>
      <sz val="11"/>
      <name val="等线"/>
      <charset val="134"/>
    </font>
    <font>
      <sz val="11"/>
      <name val="等线"/>
      <charset val="134"/>
    </font>
    <font>
      <b/>
      <sz val="10"/>
      <color theme="0"/>
      <name val="等线"/>
      <charset val="134"/>
      <scheme val="minor"/>
    </font>
    <font>
      <b/>
      <sz val="10"/>
      <name val="等线"/>
      <charset val="134"/>
    </font>
    <font>
      <b/>
      <sz val="10"/>
      <color theme="1"/>
      <name val="等线"/>
      <charset val="134"/>
      <scheme val="minor"/>
    </font>
    <font>
      <sz val="10"/>
      <name val="等线"/>
      <charset val="134"/>
    </font>
    <font>
      <sz val="10"/>
      <color theme="4"/>
      <name val="等线"/>
      <charset val="134"/>
    </font>
    <font>
      <sz val="10"/>
      <color rgb="FFFF0000"/>
      <name val="等线"/>
      <charset val="134"/>
    </font>
    <font>
      <sz val="10"/>
      <name val="等线"/>
      <charset val="134"/>
      <scheme val="minor"/>
    </font>
    <font>
      <u/>
      <sz val="10"/>
      <color rgb="FF800080"/>
      <name val="等线"/>
      <charset val="134"/>
      <scheme val="minor"/>
    </font>
    <font>
      <sz val="11"/>
      <color theme="1"/>
      <name val="等线"/>
      <charset val="134"/>
      <scheme val="minor"/>
    </font>
    <font>
      <u/>
      <sz val="11"/>
      <color theme="10"/>
      <name val="等线"/>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等线"/>
      <charset val="134"/>
      <scheme val="minor"/>
    </font>
    <font>
      <sz val="11"/>
      <color theme="1"/>
      <name val="等线"/>
      <charset val="134"/>
      <scheme val="minor"/>
    </font>
    <font>
      <b/>
      <sz val="10"/>
      <color indexed="25"/>
      <name val="Microsoft YaHei UI"/>
      <charset val="134"/>
    </font>
    <font>
      <sz val="10"/>
      <color indexed="63"/>
      <name val="Arial"/>
      <charset val="134"/>
    </font>
    <font>
      <sz val="10"/>
      <color indexed="8"/>
      <name val="宋体"/>
      <charset val="134"/>
    </font>
    <font>
      <sz val="10"/>
      <color indexed="8"/>
      <name val="Microsoft YaHei UI"/>
      <charset val="134"/>
    </font>
    <font>
      <sz val="10"/>
      <name val="宋体"/>
      <charset val="134"/>
    </font>
    <font>
      <sz val="10"/>
      <name val="Arial"/>
      <charset val="134"/>
    </font>
    <font>
      <sz val="10"/>
      <name val="方正书宋_GBK"/>
      <charset val="134"/>
    </font>
    <font>
      <b/>
      <sz val="8"/>
      <color rgb="FF000000"/>
      <name val="Microsoft YaHei UI Light"/>
      <charset val="134"/>
    </font>
    <font>
      <b/>
      <sz val="8"/>
      <color rgb="FFFF0000"/>
      <name val="Microsoft YaHei UI Light"/>
      <charset val="134"/>
    </font>
    <font>
      <sz val="9"/>
      <name val="宋体"/>
      <charset val="134"/>
    </font>
    <font>
      <b/>
      <sz val="9"/>
      <name val="宋体"/>
      <charset val="134"/>
    </font>
    <font>
      <sz val="10"/>
      <name val="宋体"/>
      <charset val="134"/>
    </font>
  </fonts>
  <fills count="44">
    <fill>
      <patternFill patternType="none"/>
    </fill>
    <fill>
      <patternFill patternType="gray125"/>
    </fill>
    <fill>
      <patternFill patternType="solid">
        <fgColor rgb="FF8383FF"/>
        <bgColor rgb="FF000000"/>
      </patternFill>
    </fill>
    <fill>
      <patternFill patternType="solid">
        <fgColor theme="9" tint="0.799981688894314"/>
        <bgColor indexed="64"/>
      </patternFill>
    </fill>
    <fill>
      <patternFill patternType="solid">
        <fgColor theme="0"/>
        <bgColor indexed="64"/>
      </patternFill>
    </fill>
    <fill>
      <patternFill patternType="solid">
        <fgColor theme="9" tint="0.799981688894314"/>
        <bgColor theme="8"/>
      </patternFill>
    </fill>
    <fill>
      <patternFill patternType="solid">
        <fgColor theme="4" tint="0.599993896298105"/>
        <bgColor indexed="64"/>
      </patternFill>
    </fill>
    <fill>
      <patternFill patternType="solid">
        <fgColor theme="7"/>
        <bgColor indexed="64"/>
      </patternFill>
    </fill>
    <fill>
      <patternFill patternType="solid">
        <fgColor rgb="FFFFFFFF"/>
        <bgColor rgb="FF000000"/>
      </patternFill>
    </fill>
    <fill>
      <patternFill patternType="solid">
        <fgColor theme="4" tint="0.799981688894314"/>
        <bgColor indexed="64"/>
      </patternFill>
    </fill>
    <fill>
      <patternFill patternType="solid">
        <fgColor theme="8"/>
        <bgColor theme="8"/>
      </patternFill>
    </fill>
    <fill>
      <patternFill patternType="solid">
        <fgColor theme="8" tint="0.799981688894314"/>
        <bgColor theme="8" tint="0.799981688894314"/>
      </patternFill>
    </fill>
    <fill>
      <patternFill patternType="solid">
        <fgColor rgb="FFFFFF00"/>
        <bgColor theme="8"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medium">
        <color rgb="FFC1C1FF"/>
      </left>
      <right style="medium">
        <color rgb="FFC1C1FF"/>
      </right>
      <top style="medium">
        <color rgb="FFC1C1FF"/>
      </top>
      <bottom/>
      <diagonal/>
    </border>
    <border>
      <left style="medium">
        <color rgb="FFC1C1FF"/>
      </left>
      <right style="medium">
        <color rgb="FFC1C1FF"/>
      </right>
      <top/>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theme="8" tint="0.399975585192419"/>
      </left>
      <right/>
      <top style="thin">
        <color theme="8" tint="0.399975585192419"/>
      </top>
      <bottom style="thin">
        <color theme="8" tint="0.399975585192419"/>
      </bottom>
      <diagonal/>
    </border>
    <border>
      <left/>
      <right/>
      <top style="thin">
        <color theme="8" tint="0.399975585192419"/>
      </top>
      <bottom style="thin">
        <color theme="8" tint="0.399975585192419"/>
      </bottom>
      <diagonal/>
    </border>
    <border>
      <left/>
      <right/>
      <top style="thin">
        <color theme="8" tint="0.399975585192419"/>
      </top>
      <bottom/>
      <diagonal/>
    </border>
    <border>
      <left/>
      <right/>
      <top/>
      <bottom style="thin">
        <color theme="8" tint="0.399975585192419"/>
      </bottom>
      <diagonal/>
    </border>
    <border>
      <left/>
      <right style="thin">
        <color theme="8" tint="0.399975585192419"/>
      </right>
      <top style="thin">
        <color theme="8" tint="0.399975585192419"/>
      </top>
      <bottom style="thin">
        <color theme="8"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15"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13" borderId="11"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2" applyNumberFormat="0" applyFill="0" applyAlignment="0" applyProtection="0">
      <alignment vertical="center"/>
    </xf>
    <xf numFmtId="0" fontId="31" fillId="0" borderId="12" applyNumberFormat="0" applyFill="0" applyAlignment="0" applyProtection="0">
      <alignment vertical="center"/>
    </xf>
    <xf numFmtId="0" fontId="32" fillId="0" borderId="13" applyNumberFormat="0" applyFill="0" applyAlignment="0" applyProtection="0">
      <alignment vertical="center"/>
    </xf>
    <xf numFmtId="0" fontId="32" fillId="0" borderId="0" applyNumberFormat="0" applyFill="0" applyBorder="0" applyAlignment="0" applyProtection="0">
      <alignment vertical="center"/>
    </xf>
    <xf numFmtId="0" fontId="33" fillId="14" borderId="14" applyNumberFormat="0" applyAlignment="0" applyProtection="0">
      <alignment vertical="center"/>
    </xf>
    <xf numFmtId="0" fontId="34" fillId="15" borderId="15" applyNumberFormat="0" applyAlignment="0" applyProtection="0">
      <alignment vertical="center"/>
    </xf>
    <xf numFmtId="0" fontId="35" fillId="15" borderId="14" applyNumberFormat="0" applyAlignment="0" applyProtection="0">
      <alignment vertical="center"/>
    </xf>
    <xf numFmtId="0" fontId="36" fillId="16" borderId="16" applyNumberFormat="0" applyAlignment="0" applyProtection="0">
      <alignment vertical="center"/>
    </xf>
    <xf numFmtId="0" fontId="37" fillId="0" borderId="17" applyNumberFormat="0" applyFill="0" applyAlignment="0" applyProtection="0">
      <alignment vertical="center"/>
    </xf>
    <xf numFmtId="0" fontId="38" fillId="0" borderId="18" applyNumberFormat="0" applyFill="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2" fillId="39" borderId="0" applyNumberFormat="0" applyBorder="0" applyAlignment="0" applyProtection="0">
      <alignment vertical="center"/>
    </xf>
    <xf numFmtId="0" fontId="42" fillId="40" borderId="0" applyNumberFormat="0" applyBorder="0" applyAlignment="0" applyProtection="0">
      <alignment vertical="center"/>
    </xf>
    <xf numFmtId="0" fontId="43" fillId="41" borderId="0" applyNumberFormat="0" applyBorder="0" applyAlignment="0" applyProtection="0">
      <alignment vertical="center"/>
    </xf>
    <xf numFmtId="0" fontId="43" fillId="42" borderId="0" applyNumberFormat="0" applyBorder="0" applyAlignment="0" applyProtection="0">
      <alignment vertical="center"/>
    </xf>
    <xf numFmtId="0" fontId="42" fillId="43" borderId="0" applyNumberFormat="0" applyBorder="0" applyAlignment="0" applyProtection="0">
      <alignment vertical="center"/>
    </xf>
    <xf numFmtId="0" fontId="44" fillId="0" borderId="0"/>
    <xf numFmtId="0" fontId="15" fillId="0" borderId="0">
      <alignment vertical="center"/>
    </xf>
    <xf numFmtId="0" fontId="45" fillId="0" borderId="0"/>
    <xf numFmtId="176" fontId="44" fillId="0" borderId="0" applyFont="0" applyFill="0" applyBorder="0" applyAlignment="0" applyProtection="0"/>
    <xf numFmtId="43" fontId="45" fillId="0" borderId="0" applyFont="0" applyFill="0" applyBorder="0" applyAlignment="0" applyProtection="0">
      <alignment vertical="center"/>
    </xf>
  </cellStyleXfs>
  <cellXfs count="156">
    <xf numFmtId="0" fontId="0" fillId="0" borderId="0" xfId="0">
      <alignment vertical="center"/>
    </xf>
    <xf numFmtId="0" fontId="1" fillId="2" borderId="1" xfId="0" applyFont="1" applyFill="1" applyBorder="1" applyAlignment="1">
      <alignment horizontal="center" vertical="center" wrapText="1" readingOrder="1"/>
    </xf>
    <xf numFmtId="0" fontId="2" fillId="0" borderId="1" xfId="0" applyFont="1" applyBorder="1" applyAlignment="1">
      <alignment horizontal="center" vertical="center" wrapText="1" readingOrder="1"/>
    </xf>
    <xf numFmtId="0" fontId="1" fillId="0" borderId="1" xfId="0" applyFont="1" applyBorder="1" applyAlignment="1">
      <alignment horizontal="center" vertical="center" wrapText="1" readingOrder="1"/>
    </xf>
    <xf numFmtId="0" fontId="3" fillId="0" borderId="1" xfId="0" applyFont="1" applyBorder="1" applyAlignment="1">
      <alignment horizontal="center" vertical="center" wrapText="1"/>
    </xf>
    <xf numFmtId="0" fontId="1" fillId="0" borderId="2" xfId="0" applyFont="1" applyBorder="1" applyAlignment="1">
      <alignment horizontal="center" vertical="center" wrapText="1" readingOrder="1"/>
    </xf>
    <xf numFmtId="0" fontId="1" fillId="0" borderId="3" xfId="0" applyFont="1" applyBorder="1" applyAlignment="1">
      <alignment horizontal="center" vertical="center" wrapText="1" readingOrder="1"/>
    </xf>
    <xf numFmtId="0" fontId="4" fillId="0" borderId="1" xfId="0" applyFont="1" applyBorder="1" applyAlignment="1">
      <alignment horizontal="center" vertical="center" wrapText="1" readingOrder="1"/>
    </xf>
    <xf numFmtId="0" fontId="5" fillId="3" borderId="0" xfId="50" applyFont="1" applyFill="1" applyAlignment="1">
      <alignment horizontal="center" vertical="center" wrapText="1"/>
    </xf>
    <xf numFmtId="0" fontId="6" fillId="0" borderId="0" xfId="0" applyFont="1" applyAlignment="1">
      <alignment horizontal="center" vertical="center" wrapText="1"/>
    </xf>
    <xf numFmtId="0" fontId="6" fillId="4" borderId="0" xfId="0" applyFont="1" applyFill="1" applyAlignment="1">
      <alignment horizontal="center" vertical="center" wrapText="1"/>
    </xf>
    <xf numFmtId="0" fontId="6" fillId="4" borderId="0" xfId="0" applyFont="1" applyFill="1" applyAlignment="1">
      <alignment wrapText="1"/>
    </xf>
    <xf numFmtId="0" fontId="6" fillId="0" borderId="0" xfId="0" applyFont="1" applyAlignment="1">
      <alignment wrapText="1"/>
    </xf>
    <xf numFmtId="0" fontId="7" fillId="4" borderId="0" xfId="0" applyFont="1" applyFill="1" applyAlignment="1">
      <alignment horizontal="center" vertical="center" wrapText="1"/>
    </xf>
    <xf numFmtId="0" fontId="6" fillId="0" borderId="4" xfId="0" applyFont="1" applyBorder="1" applyAlignment="1">
      <alignment vertical="center" wrapText="1"/>
    </xf>
    <xf numFmtId="0" fontId="6" fillId="0" borderId="1" xfId="0" applyFont="1" applyBorder="1" applyAlignment="1">
      <alignment vertical="center" wrapText="1"/>
    </xf>
    <xf numFmtId="0" fontId="7" fillId="0" borderId="0" xfId="0" applyFont="1" applyAlignment="1">
      <alignment horizontal="center" vertical="center" wrapText="1"/>
    </xf>
    <xf numFmtId="0" fontId="8" fillId="4" borderId="0" xfId="0" applyFont="1" applyFill="1" applyAlignment="1">
      <alignment horizontal="center" vertical="center" wrapText="1"/>
    </xf>
    <xf numFmtId="0" fontId="6" fillId="4" borderId="0" xfId="0" applyFont="1" applyFill="1" applyAlignment="1">
      <alignment vertical="center" wrapText="1"/>
    </xf>
    <xf numFmtId="0" fontId="7" fillId="0" borderId="0" xfId="0" applyFont="1" applyAlignment="1">
      <alignment wrapText="1"/>
    </xf>
    <xf numFmtId="0" fontId="6" fillId="0" borderId="0" xfId="0" applyFont="1" applyAlignment="1">
      <alignment horizontal="center" wrapText="1"/>
    </xf>
    <xf numFmtId="0" fontId="6" fillId="0" borderId="0" xfId="0" applyFont="1" applyAlignment="1">
      <alignment horizontal="center" vertical="top" wrapText="1"/>
    </xf>
    <xf numFmtId="0" fontId="6" fillId="0" borderId="0" xfId="0" applyFont="1" applyAlignment="1">
      <alignment vertical="center" wrapText="1"/>
    </xf>
    <xf numFmtId="9" fontId="6" fillId="0" borderId="0" xfId="3" applyFont="1" applyAlignment="1">
      <alignment vertical="center" wrapText="1"/>
    </xf>
    <xf numFmtId="0" fontId="5" fillId="3" borderId="1" xfId="50" applyFont="1" applyFill="1" applyBorder="1" applyAlignment="1">
      <alignment horizontal="center" vertical="center" wrapText="1"/>
    </xf>
    <xf numFmtId="0" fontId="9" fillId="5" borderId="1" xfId="50" applyFont="1" applyFill="1" applyBorder="1" applyAlignment="1">
      <alignment horizontal="center" vertical="center" wrapText="1"/>
    </xf>
    <xf numFmtId="9" fontId="5" fillId="3" borderId="1" xfId="3" applyFont="1" applyFill="1" applyBorder="1" applyAlignment="1">
      <alignment horizontal="center" vertical="center" wrapText="1"/>
    </xf>
    <xf numFmtId="10" fontId="5" fillId="3" borderId="1" xfId="50" applyNumberFormat="1" applyFont="1" applyFill="1" applyBorder="1" applyAlignment="1">
      <alignment horizontal="center" vertical="center" wrapText="1"/>
    </xf>
    <xf numFmtId="57"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6"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9" fontId="6" fillId="4" borderId="1" xfId="3" applyFont="1" applyFill="1" applyBorder="1" applyAlignment="1">
      <alignment horizontal="center" vertical="center" wrapText="1"/>
    </xf>
    <xf numFmtId="10" fontId="6" fillId="0" borderId="1" xfId="0" applyNumberFormat="1" applyFont="1" applyBorder="1" applyAlignment="1">
      <alignment horizontal="center" vertical="center" wrapText="1"/>
    </xf>
    <xf numFmtId="9" fontId="6" fillId="0" borderId="1" xfId="0" applyNumberFormat="1" applyFont="1" applyBorder="1" applyAlignment="1">
      <alignment horizontal="center" vertical="center" wrapText="1"/>
    </xf>
    <xf numFmtId="14" fontId="6" fillId="4"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10" fontId="6" fillId="4" borderId="1" xfId="0" applyNumberFormat="1" applyFont="1" applyFill="1" applyBorder="1" applyAlignment="1">
      <alignment horizontal="center" vertical="center" wrapText="1"/>
    </xf>
    <xf numFmtId="9" fontId="6" fillId="4" borderId="1" xfId="0"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9" fontId="6" fillId="0" borderId="1" xfId="3" applyFont="1" applyBorder="1" applyAlignment="1">
      <alignment vertical="center" wrapText="1"/>
    </xf>
    <xf numFmtId="0" fontId="7" fillId="4" borderId="1" xfId="0" applyFont="1" applyFill="1" applyBorder="1" applyAlignment="1">
      <alignment horizontal="center" wrapText="1"/>
    </xf>
    <xf numFmtId="14" fontId="6" fillId="0" borderId="1" xfId="0" applyNumberFormat="1" applyFont="1" applyBorder="1" applyAlignment="1">
      <alignment horizontal="center" vertical="center" wrapText="1"/>
    </xf>
    <xf numFmtId="9" fontId="6" fillId="0" borderId="1" xfId="3" applyFont="1" applyFill="1" applyBorder="1" applyAlignment="1">
      <alignment horizontal="center" vertical="center" wrapText="1"/>
    </xf>
    <xf numFmtId="0" fontId="7" fillId="0" borderId="1" xfId="0" applyFont="1" applyBorder="1" applyAlignment="1">
      <alignment horizontal="center" wrapText="1"/>
    </xf>
    <xf numFmtId="9" fontId="7" fillId="0" borderId="1" xfId="0" applyNumberFormat="1" applyFont="1" applyBorder="1" applyAlignment="1">
      <alignment horizontal="center" wrapText="1"/>
    </xf>
    <xf numFmtId="0" fontId="7"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6" fillId="8"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9" fontId="6" fillId="8" borderId="1" xfId="3" applyFont="1" applyFill="1" applyBorder="1" applyAlignment="1">
      <alignment horizontal="center" vertical="center" wrapText="1"/>
    </xf>
    <xf numFmtId="9" fontId="6" fillId="8" borderId="1" xfId="0" applyNumberFormat="1" applyFont="1" applyFill="1" applyBorder="1" applyAlignment="1">
      <alignment horizontal="center" vertical="center" wrapText="1"/>
    </xf>
    <xf numFmtId="0" fontId="8" fillId="0" borderId="0" xfId="0" applyFont="1" applyAlignment="1">
      <alignment horizontal="center" vertical="center" wrapText="1"/>
    </xf>
    <xf numFmtId="0" fontId="11" fillId="0" borderId="1" xfId="0" applyFont="1" applyBorder="1" applyAlignment="1">
      <alignment vertical="center" wrapText="1"/>
    </xf>
    <xf numFmtId="0" fontId="12" fillId="0" borderId="1" xfId="0" applyFont="1" applyBorder="1" applyAlignment="1">
      <alignment horizontal="center" vertical="center" wrapText="1"/>
    </xf>
    <xf numFmtId="14" fontId="7"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9" fontId="7" fillId="0" borderId="1" xfId="0" applyNumberFormat="1" applyFont="1" applyBorder="1" applyAlignment="1">
      <alignment horizontal="center" vertical="center" wrapText="1"/>
    </xf>
    <xf numFmtId="0" fontId="6" fillId="0" borderId="5" xfId="0" applyFont="1" applyBorder="1" applyAlignment="1">
      <alignment vertical="center" wrapText="1"/>
    </xf>
    <xf numFmtId="0" fontId="7" fillId="0" borderId="1" xfId="0" applyFont="1" applyBorder="1" applyAlignment="1">
      <alignment horizontal="center" vertical="center"/>
    </xf>
    <xf numFmtId="9" fontId="6" fillId="0" borderId="1" xfId="3" applyFont="1" applyBorder="1" applyAlignment="1">
      <alignment horizontal="center" vertical="center" wrapText="1"/>
    </xf>
    <xf numFmtId="10" fontId="6" fillId="0" borderId="1" xfId="0" applyNumberFormat="1" applyFont="1" applyBorder="1" applyAlignment="1">
      <alignment wrapText="1"/>
    </xf>
    <xf numFmtId="0" fontId="6" fillId="0" borderId="1" xfId="0" applyFont="1" applyBorder="1" applyAlignment="1">
      <alignment wrapText="1"/>
    </xf>
    <xf numFmtId="9" fontId="7" fillId="0" borderId="1" xfId="3" applyFont="1" applyBorder="1" applyAlignment="1">
      <alignment horizontal="center" vertical="center" wrapText="1"/>
    </xf>
    <xf numFmtId="0" fontId="8" fillId="0" borderId="0" xfId="0" applyFont="1" applyAlignment="1">
      <alignment wrapText="1"/>
    </xf>
    <xf numFmtId="0" fontId="8" fillId="8" borderId="1" xfId="0" applyFont="1" applyFill="1" applyBorder="1" applyAlignment="1">
      <alignment wrapText="1"/>
    </xf>
    <xf numFmtId="10" fontId="6" fillId="8" borderId="1" xfId="3" applyNumberFormat="1" applyFont="1" applyFill="1" applyBorder="1" applyAlignment="1">
      <alignment horizontal="center" vertical="center" wrapText="1"/>
    </xf>
    <xf numFmtId="10" fontId="8" fillId="0" borderId="1" xfId="0" applyNumberFormat="1" applyFont="1" applyBorder="1" applyAlignment="1">
      <alignment horizontal="center" vertical="center" wrapText="1"/>
    </xf>
    <xf numFmtId="0" fontId="6" fillId="4" borderId="1" xfId="0" applyFont="1" applyFill="1" applyBorder="1" applyAlignment="1">
      <alignment horizontal="left" vertical="center" wrapText="1"/>
    </xf>
    <xf numFmtId="57" fontId="7" fillId="0" borderId="1" xfId="0" applyNumberFormat="1" applyFont="1" applyBorder="1" applyAlignment="1">
      <alignment horizontal="center" vertical="center" wrapText="1"/>
    </xf>
    <xf numFmtId="10" fontId="7" fillId="0" borderId="1" xfId="0" applyNumberFormat="1" applyFont="1" applyBorder="1" applyAlignment="1">
      <alignment horizontal="center" vertical="center" wrapText="1"/>
    </xf>
    <xf numFmtId="9" fontId="8" fillId="0" borderId="1" xfId="3" applyFont="1" applyBorder="1" applyAlignment="1">
      <alignment horizontal="center" vertical="center" wrapText="1"/>
    </xf>
    <xf numFmtId="14" fontId="7" fillId="4" borderId="1" xfId="0" applyNumberFormat="1" applyFont="1" applyFill="1" applyBorder="1" applyAlignment="1">
      <alignment horizontal="center" vertical="center" wrapText="1"/>
    </xf>
    <xf numFmtId="9" fontId="7" fillId="4" borderId="1" xfId="3" applyFont="1" applyFill="1" applyBorder="1" applyAlignment="1">
      <alignment horizontal="center" vertical="center" wrapText="1"/>
    </xf>
    <xf numFmtId="0" fontId="6" fillId="0" borderId="1" xfId="0" applyFont="1" applyBorder="1" applyAlignment="1">
      <alignment horizontal="center" wrapText="1"/>
    </xf>
    <xf numFmtId="0" fontId="8" fillId="7" borderId="1" xfId="0" applyFont="1" applyFill="1" applyBorder="1" applyAlignment="1">
      <alignment horizontal="center" vertical="center" wrapText="1"/>
    </xf>
    <xf numFmtId="9" fontId="7" fillId="0" borderId="1" xfId="3" applyFont="1" applyFill="1" applyBorder="1" applyAlignment="1">
      <alignment horizontal="center" vertical="center" wrapText="1"/>
    </xf>
    <xf numFmtId="16" fontId="6" fillId="4" borderId="1" xfId="0" applyNumberFormat="1" applyFont="1" applyFill="1" applyBorder="1" applyAlignment="1">
      <alignment horizontal="center" vertical="center" wrapText="1"/>
    </xf>
    <xf numFmtId="0" fontId="6" fillId="4" borderId="1" xfId="0" applyFont="1" applyFill="1" applyBorder="1" applyAlignment="1">
      <alignment horizontal="center" wrapText="1"/>
    </xf>
    <xf numFmtId="0" fontId="13" fillId="0" borderId="1" xfId="0" applyFont="1" applyBorder="1" applyAlignment="1">
      <alignment horizontal="center" vertical="top" wrapText="1"/>
    </xf>
    <xf numFmtId="0" fontId="13" fillId="0" borderId="1" xfId="0" applyFont="1" applyBorder="1" applyAlignment="1">
      <alignment horizontal="center" vertical="top"/>
    </xf>
    <xf numFmtId="0" fontId="7" fillId="4" borderId="0" xfId="0" applyFont="1" applyFill="1" applyAlignment="1">
      <alignment wrapText="1"/>
    </xf>
    <xf numFmtId="177" fontId="6" fillId="0" borderId="1" xfId="0" applyNumberFormat="1" applyFont="1" applyBorder="1" applyAlignment="1">
      <alignment horizontal="center" vertical="center" wrapText="1"/>
    </xf>
    <xf numFmtId="0" fontId="6" fillId="4" borderId="1" xfId="0" applyFont="1" applyFill="1" applyBorder="1" applyAlignment="1">
      <alignment wrapText="1"/>
    </xf>
    <xf numFmtId="10" fontId="6" fillId="4" borderId="1" xfId="0" applyNumberFormat="1" applyFont="1" applyFill="1" applyBorder="1" applyAlignment="1">
      <alignment wrapText="1"/>
    </xf>
    <xf numFmtId="0" fontId="7" fillId="4" borderId="0" xfId="0" applyFont="1" applyFill="1" applyAlignment="1">
      <alignment horizontal="center" wrapText="1"/>
    </xf>
    <xf numFmtId="3" fontId="6" fillId="4" borderId="1" xfId="0" applyNumberFormat="1" applyFont="1" applyFill="1" applyBorder="1" applyAlignment="1">
      <alignment horizontal="center" vertical="center" wrapText="1"/>
    </xf>
    <xf numFmtId="0" fontId="13" fillId="4" borderId="1" xfId="0" applyFont="1" applyFill="1" applyBorder="1" applyAlignment="1">
      <alignment horizontal="center" vertical="top" wrapText="1"/>
    </xf>
    <xf numFmtId="0" fontId="13" fillId="4" borderId="1" xfId="0" applyFont="1" applyFill="1" applyBorder="1" applyAlignment="1">
      <alignment horizontal="center" vertical="top"/>
    </xf>
    <xf numFmtId="49" fontId="6" fillId="4" borderId="1" xfId="0" applyNumberFormat="1" applyFont="1" applyFill="1" applyBorder="1" applyAlignment="1">
      <alignment horizontal="center" vertical="center" wrapText="1"/>
    </xf>
    <xf numFmtId="0" fontId="6" fillId="4" borderId="0" xfId="0" applyFont="1" applyFill="1" applyAlignment="1">
      <alignment horizontal="center" vertical="top" wrapText="1"/>
    </xf>
    <xf numFmtId="0" fontId="8" fillId="6" borderId="1" xfId="0" applyFont="1" applyFill="1" applyBorder="1" applyAlignment="1">
      <alignment horizontal="center" vertical="center" wrapText="1"/>
    </xf>
    <xf numFmtId="9" fontId="7" fillId="4" borderId="1" xfId="0" applyNumberFormat="1" applyFont="1" applyFill="1" applyBorder="1" applyAlignment="1">
      <alignment horizontal="center" vertical="center" wrapText="1"/>
    </xf>
    <xf numFmtId="10" fontId="6" fillId="8" borderId="1" xfId="0" applyNumberFormat="1" applyFont="1" applyFill="1" applyBorder="1" applyAlignment="1">
      <alignment horizontal="center" vertical="center" wrapText="1"/>
    </xf>
    <xf numFmtId="0" fontId="6" fillId="8" borderId="0" xfId="0" applyFont="1" applyFill="1" applyAlignment="1">
      <alignment horizontal="center" vertical="center" wrapText="1"/>
    </xf>
    <xf numFmtId="9" fontId="8" fillId="4" borderId="1" xfId="0" applyNumberFormat="1" applyFont="1" applyFill="1" applyBorder="1" applyAlignment="1">
      <alignment horizontal="center" vertical="center" wrapText="1"/>
    </xf>
    <xf numFmtId="10" fontId="7" fillId="4" borderId="1" xfId="0" applyNumberFormat="1" applyFont="1" applyFill="1" applyBorder="1" applyAlignment="1">
      <alignment horizontal="center" vertical="center" wrapText="1"/>
    </xf>
    <xf numFmtId="3" fontId="6" fillId="0" borderId="1" xfId="0" applyNumberFormat="1" applyFont="1" applyBorder="1" applyAlignment="1">
      <alignment horizontal="center" vertical="center" wrapText="1"/>
    </xf>
    <xf numFmtId="9" fontId="8" fillId="4" borderId="1" xfId="3" applyFont="1" applyFill="1" applyBorder="1" applyAlignment="1">
      <alignment horizontal="center" vertical="center" wrapText="1"/>
    </xf>
    <xf numFmtId="10" fontId="8" fillId="4" borderId="1" xfId="0" applyNumberFormat="1" applyFont="1" applyFill="1" applyBorder="1" applyAlignment="1">
      <alignment horizontal="center" vertical="center" wrapText="1"/>
    </xf>
    <xf numFmtId="0" fontId="8" fillId="4" borderId="0" xfId="0" applyFont="1" applyFill="1" applyAlignment="1">
      <alignment vertical="center" wrapText="1"/>
    </xf>
    <xf numFmtId="0" fontId="6" fillId="9" borderId="0" xfId="0" applyFont="1" applyFill="1" applyAlignment="1">
      <alignment horizontal="center" vertical="center" wrapText="1"/>
    </xf>
    <xf numFmtId="10" fontId="7" fillId="0" borderId="1" xfId="3" applyNumberFormat="1" applyFont="1" applyBorder="1" applyAlignment="1">
      <alignment horizontal="center" vertical="center" wrapText="1"/>
    </xf>
    <xf numFmtId="9" fontId="8" fillId="0" borderId="1" xfId="0" applyNumberFormat="1" applyFont="1" applyBorder="1" applyAlignment="1">
      <alignment horizontal="center" vertical="center" wrapText="1"/>
    </xf>
    <xf numFmtId="0" fontId="7" fillId="0" borderId="0" xfId="0" applyFont="1" applyAlignment="1">
      <alignment horizontal="center" wrapText="1"/>
    </xf>
    <xf numFmtId="9" fontId="7" fillId="4" borderId="1" xfId="0" applyNumberFormat="1" applyFont="1" applyFill="1" applyBorder="1" applyAlignment="1">
      <alignment horizontal="center" wrapText="1"/>
    </xf>
    <xf numFmtId="0" fontId="14" fillId="0" borderId="0" xfId="50" applyFont="1">
      <alignment vertical="center"/>
    </xf>
    <xf numFmtId="0" fontId="15" fillId="0" borderId="0" xfId="50">
      <alignment vertical="center"/>
    </xf>
    <xf numFmtId="0" fontId="16" fillId="10" borderId="6" xfId="50" applyFont="1" applyFill="1" applyBorder="1" applyAlignment="1">
      <alignment horizontal="center" vertical="center" wrapText="1"/>
    </xf>
    <xf numFmtId="0" fontId="17" fillId="11" borderId="6" xfId="50" applyFont="1" applyFill="1" applyBorder="1" applyAlignment="1">
      <alignment horizontal="center" vertical="center" wrapText="1"/>
    </xf>
    <xf numFmtId="0" fontId="17" fillId="0" borderId="6" xfId="50" applyFont="1" applyBorder="1" applyAlignment="1">
      <alignment horizontal="center" vertical="center" wrapText="1"/>
    </xf>
    <xf numFmtId="0" fontId="17" fillId="11" borderId="7" xfId="50" applyFont="1" applyFill="1" applyBorder="1" applyAlignment="1">
      <alignment horizontal="center" vertical="center" wrapText="1"/>
    </xf>
    <xf numFmtId="0" fontId="17" fillId="0" borderId="7" xfId="50" applyFont="1" applyBorder="1" applyAlignment="1">
      <alignment horizontal="center" vertical="center" wrapText="1"/>
    </xf>
    <xf numFmtId="9" fontId="18" fillId="0" borderId="7" xfId="3" applyFont="1" applyFill="1" applyBorder="1" applyAlignment="1" applyProtection="1">
      <alignment horizontal="center" vertical="center" wrapText="1"/>
    </xf>
    <xf numFmtId="0" fontId="16" fillId="10" borderId="7" xfId="50" applyFont="1" applyFill="1" applyBorder="1" applyAlignment="1">
      <alignment horizontal="center" vertical="center" wrapText="1"/>
    </xf>
    <xf numFmtId="0" fontId="19" fillId="11" borderId="7" xfId="50" applyFont="1" applyFill="1" applyBorder="1" applyAlignment="1">
      <alignment horizontal="center" vertical="center" wrapText="1"/>
    </xf>
    <xf numFmtId="0" fontId="13" fillId="0" borderId="7" xfId="6" applyFont="1" applyFill="1" applyBorder="1" applyAlignment="1">
      <alignment horizontal="center" vertical="center"/>
    </xf>
    <xf numFmtId="14" fontId="19" fillId="0" borderId="7" xfId="50" applyNumberFormat="1" applyFont="1" applyBorder="1" applyAlignment="1">
      <alignment horizontal="center" vertical="center" wrapText="1"/>
    </xf>
    <xf numFmtId="0" fontId="19" fillId="0" borderId="7" xfId="50" applyFont="1" applyBorder="1" applyAlignment="1">
      <alignment horizontal="center" vertical="center" wrapText="1"/>
    </xf>
    <xf numFmtId="9" fontId="13" fillId="0" borderId="7" xfId="3" applyFont="1" applyFill="1" applyBorder="1" applyAlignment="1" applyProtection="1">
      <alignment horizontal="center" vertical="center" wrapText="1"/>
    </xf>
    <xf numFmtId="0" fontId="19" fillId="0" borderId="7" xfId="50" applyFont="1" applyBorder="1" applyAlignment="1" applyProtection="1">
      <alignment horizontal="center" vertical="center" wrapText="1"/>
      <protection locked="0"/>
    </xf>
    <xf numFmtId="9" fontId="19" fillId="0" borderId="7" xfId="50" applyNumberFormat="1" applyFont="1" applyBorder="1" applyAlignment="1" applyProtection="1">
      <alignment horizontal="center" vertical="center" wrapText="1"/>
      <protection locked="0"/>
    </xf>
    <xf numFmtId="0" fontId="20" fillId="11" borderId="7" xfId="50" applyFont="1" applyFill="1" applyBorder="1" applyAlignment="1">
      <alignment horizontal="center" vertical="center" wrapText="1"/>
    </xf>
    <xf numFmtId="0" fontId="13" fillId="0" borderId="7" xfId="6" applyFont="1" applyFill="1" applyBorder="1" applyAlignment="1" applyProtection="1">
      <alignment horizontal="center" vertical="center" wrapText="1"/>
    </xf>
    <xf numFmtId="0" fontId="13" fillId="11" borderId="7" xfId="6" applyFont="1" applyFill="1" applyBorder="1" applyAlignment="1" applyProtection="1">
      <alignment horizontal="center" vertical="center" wrapText="1"/>
    </xf>
    <xf numFmtId="9" fontId="19" fillId="0" borderId="7" xfId="50" applyNumberFormat="1" applyFont="1" applyBorder="1" applyAlignment="1">
      <alignment horizontal="center" vertical="center" wrapText="1"/>
    </xf>
    <xf numFmtId="0" fontId="21" fillId="11" borderId="7" xfId="50" applyFont="1" applyFill="1" applyBorder="1" applyAlignment="1">
      <alignment horizontal="center" vertical="center" wrapText="1"/>
    </xf>
    <xf numFmtId="178" fontId="19" fillId="11" borderId="7" xfId="50" applyNumberFormat="1" applyFont="1" applyFill="1" applyBorder="1" applyAlignment="1">
      <alignment horizontal="center" vertical="center" wrapText="1"/>
    </xf>
    <xf numFmtId="0" fontId="19" fillId="12" borderId="7" xfId="50" applyFont="1" applyFill="1" applyBorder="1" applyAlignment="1">
      <alignment horizontal="center" vertical="center" wrapText="1"/>
    </xf>
    <xf numFmtId="178" fontId="19" fillId="0" borderId="7" xfId="50" applyNumberFormat="1" applyFont="1" applyBorder="1" applyAlignment="1">
      <alignment horizontal="center" vertical="center" wrapText="1"/>
    </xf>
    <xf numFmtId="0" fontId="13" fillId="0" borderId="7" xfId="6" applyFont="1" applyFill="1" applyBorder="1" applyAlignment="1">
      <alignment horizontal="center" vertical="center" wrapText="1"/>
    </xf>
    <xf numFmtId="14" fontId="19" fillId="11" borderId="7" xfId="50" applyNumberFormat="1" applyFont="1" applyFill="1" applyBorder="1" applyAlignment="1">
      <alignment horizontal="center" vertical="center" wrapText="1"/>
    </xf>
    <xf numFmtId="0" fontId="16" fillId="10" borderId="8" xfId="50" applyFont="1" applyFill="1" applyBorder="1" applyAlignment="1">
      <alignment horizontal="center" vertical="center" wrapText="1"/>
    </xf>
    <xf numFmtId="0" fontId="16" fillId="10" borderId="0" xfId="50" applyFont="1" applyFill="1" applyAlignment="1">
      <alignment horizontal="center" vertical="center" wrapText="1"/>
    </xf>
    <xf numFmtId="178" fontId="13" fillId="0" borderId="7" xfId="6" applyNumberFormat="1" applyFont="1" applyFill="1" applyBorder="1" applyAlignment="1" applyProtection="1">
      <alignment horizontal="center" vertical="center" wrapText="1"/>
    </xf>
    <xf numFmtId="0" fontId="22" fillId="0" borderId="0" xfId="6" applyFont="1" applyAlignment="1">
      <alignment horizontal="center" vertical="center"/>
    </xf>
    <xf numFmtId="0" fontId="16" fillId="10" borderId="9" xfId="50" applyFont="1" applyFill="1" applyBorder="1" applyAlignment="1">
      <alignment horizontal="center" vertical="center" wrapText="1"/>
    </xf>
    <xf numFmtId="178" fontId="19" fillId="12" borderId="7" xfId="50" applyNumberFormat="1" applyFont="1" applyFill="1" applyBorder="1" applyAlignment="1">
      <alignment horizontal="center" vertical="center" wrapText="1"/>
    </xf>
    <xf numFmtId="9" fontId="19" fillId="11" borderId="7" xfId="50" applyNumberFormat="1" applyFont="1" applyFill="1" applyBorder="1" applyAlignment="1">
      <alignment horizontal="center" vertical="center" wrapText="1"/>
    </xf>
    <xf numFmtId="0" fontId="23" fillId="0" borderId="7" xfId="6" applyFont="1" applyFill="1" applyBorder="1" applyAlignment="1" applyProtection="1">
      <alignment horizontal="center" vertical="center" wrapText="1"/>
    </xf>
    <xf numFmtId="0" fontId="22" fillId="0" borderId="7" xfId="6" applyFont="1" applyFill="1" applyBorder="1" applyAlignment="1" applyProtection="1">
      <alignment horizontal="center" vertical="center" wrapText="1"/>
    </xf>
    <xf numFmtId="0" fontId="19" fillId="11" borderId="7" xfId="50" applyFont="1" applyFill="1" applyBorder="1" applyAlignment="1">
      <alignment horizontal="center" vertical="center"/>
    </xf>
    <xf numFmtId="0" fontId="19" fillId="0" borderId="7" xfId="50" applyFont="1" applyBorder="1" applyAlignment="1">
      <alignment horizontal="center" vertical="center"/>
    </xf>
    <xf numFmtId="0" fontId="16" fillId="10" borderId="10" xfId="50" applyFont="1" applyFill="1" applyBorder="1" applyAlignment="1">
      <alignment horizontal="center" vertical="center" wrapText="1"/>
    </xf>
    <xf numFmtId="0" fontId="21" fillId="11" borderId="10" xfId="50" applyFont="1" applyFill="1" applyBorder="1" applyAlignment="1">
      <alignment horizontal="center" vertical="center" wrapText="1"/>
    </xf>
    <xf numFmtId="0" fontId="13" fillId="0" borderId="10" xfId="6" applyFont="1" applyFill="1" applyBorder="1" applyAlignment="1" applyProtection="1">
      <alignment horizontal="center" vertical="center" wrapText="1"/>
    </xf>
    <xf numFmtId="0" fontId="13" fillId="11" borderId="10" xfId="6" applyFont="1" applyFill="1" applyBorder="1" applyAlignment="1" applyProtection="1">
      <alignment horizontal="center" vertical="center" wrapText="1"/>
    </xf>
    <xf numFmtId="14" fontId="19" fillId="0" borderId="10" xfId="50" applyNumberFormat="1" applyFont="1" applyBorder="1" applyAlignment="1">
      <alignment horizontal="center" vertical="center" wrapText="1"/>
    </xf>
    <xf numFmtId="0" fontId="19" fillId="0" borderId="10" xfId="50" applyFont="1" applyBorder="1" applyAlignment="1">
      <alignment horizontal="center" vertical="center" wrapText="1"/>
    </xf>
    <xf numFmtId="178" fontId="19" fillId="11" borderId="10" xfId="50" applyNumberFormat="1" applyFont="1" applyFill="1" applyBorder="1" applyAlignment="1">
      <alignment horizontal="center" vertical="center" wrapText="1"/>
    </xf>
    <xf numFmtId="0" fontId="19" fillId="11" borderId="10" xfId="50" applyFont="1" applyFill="1" applyBorder="1" applyAlignment="1">
      <alignment horizontal="center" vertical="center" wrapText="1"/>
    </xf>
    <xf numFmtId="9" fontId="19" fillId="0" borderId="10" xfId="50" applyNumberFormat="1" applyFont="1" applyBorder="1" applyAlignment="1">
      <alignment horizontal="center"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常规 4" xfId="51"/>
    <cellStyle name="千位分隔 2" xfId="52"/>
    <cellStyle name="千位分隔 3" xfId="5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6.xml"/><Relationship Id="rId8" Type="http://schemas.openxmlformats.org/officeDocument/2006/relationships/customXml" Target="../customXml/item5.xml"/><Relationship Id="rId7" Type="http://schemas.openxmlformats.org/officeDocument/2006/relationships/customXml" Target="../customXml/item4.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1" Type="http://schemas.openxmlformats.org/officeDocument/2006/relationships/hyperlink" Target="https://mp.weixin.qq.com/s/VHSCY-Dt_hi79E8nmJdYQw" TargetMode="External"/><Relationship Id="rId90" Type="http://schemas.openxmlformats.org/officeDocument/2006/relationships/hyperlink" Target="https://mlgp.hqbxjj.com/mlg-web/product.html?SK_channelid=A000B000C000D000&amp;terminalCode=VX_OA_chonghuibao&amp;utm_campaign=chonghuibao&amp;utm_medium=wechat&amp;utm_source=platform&amp;referenceCode=MLG-HQBXJJ&amp;tenementCode=ZH000004&amp;channelCode=A000B000C000D000" TargetMode="External"/><Relationship Id="rId9" Type="http://schemas.openxmlformats.org/officeDocument/2006/relationships/hyperlink" Target="http://hsa.sz.gov.cn/ztzl/zfzjxjjpan/bxlc/content/post_7395395.html" TargetMode="External"/><Relationship Id="rId89" Type="http://schemas.openxmlformats.org/officeDocument/2006/relationships/hyperlink" Target="https://m.58insure.com/agentapp/product/index/61?sqbChannel=58TC&amp;sqbResource=JXEDT&amp;stamp=0.3661704791649407" TargetMode="External"/><Relationship Id="rId88" Type="http://schemas.openxmlformats.org/officeDocument/2006/relationships/hyperlink" Target="https://mp.weixin.qq.com/s/HqaqQh7zfqcdyl8sN7PDgA" TargetMode="External"/><Relationship Id="rId87" Type="http://schemas.openxmlformats.org/officeDocument/2006/relationships/hyperlink" Target="https://gc.pingan.com.cn/scms/g2c/index.html?city=hainan&amp;newClientType=RENBAO&amp;empNo=HNRBGZH" TargetMode="External"/><Relationship Id="rId86" Type="http://schemas.openxmlformats.org/officeDocument/2006/relationships/hyperlink" Target="https://mp.weixin.qq.com/s/Z2BS2V4L2bAweZilH9ES3Q" TargetMode="External"/><Relationship Id="rId85" Type="http://schemas.openxmlformats.org/officeDocument/2006/relationships/hyperlink" Target="https://zcx.zrwbjj.com/zjsmbh5/" TargetMode="External"/><Relationship Id="rId84" Type="http://schemas.openxmlformats.org/officeDocument/2006/relationships/hyperlink" Target="https://mp.weixin.qq.com/s/JR0Gi9IMO4wlS3Sdd_-sKg" TargetMode="External"/><Relationship Id="rId83" Type="http://schemas.openxmlformats.org/officeDocument/2006/relationships/hyperlink" Target="https://mp.weixin.qq.com/s/QazaqbVrbI_aiTDkch-4DQ?wtagid=713945ee8f" TargetMode="External"/><Relationship Id="rId82" Type="http://schemas.openxmlformats.org/officeDocument/2006/relationships/hyperlink" Target="https://mp.weixin.qq.com/s/c6zuhASgcqZ-qIq2wqzPkA" TargetMode="External"/><Relationship Id="rId81" Type="http://schemas.openxmlformats.org/officeDocument/2006/relationships/hyperlink" Target="https://mp.weixin.qq.com/s/RUQe2o7WpvsDyPJaP45K4A" TargetMode="External"/><Relationship Id="rId80" Type="http://schemas.openxmlformats.org/officeDocument/2006/relationships/hyperlink" Target="https://nbsmb.chinainsbrokers.com/" TargetMode="External"/><Relationship Id="rId8" Type="http://schemas.openxmlformats.org/officeDocument/2006/relationships/hyperlink" Target="https://mp.weixin.qq.com/s/RbMnSJRWm4oUzp0kgkv_7g" TargetMode="External"/><Relationship Id="rId79" Type="http://schemas.openxmlformats.org/officeDocument/2006/relationships/hyperlink" Target="https://mp.weixin.qq.com/s/vDKgJi4mE1LKYbNuAJm7bg" TargetMode="External"/><Relationship Id="rId78" Type="http://schemas.openxmlformats.org/officeDocument/2006/relationships/hyperlink" Target="https://mp.weixin.qq.com/s/j9_RxgprcyT1UzNLwbfLuw" TargetMode="External"/><Relationship Id="rId77" Type="http://schemas.openxmlformats.org/officeDocument/2006/relationships/hyperlink" Target="https://mp.weixin.qq.com/s/6FD52Au1ML-09QktTAoxdA" TargetMode="External"/><Relationship Id="rId76" Type="http://schemas.openxmlformats.org/officeDocument/2006/relationships/hyperlink" Target="https://mp.weixin.qq.com/s/yAvMhJ0U7CjfcAIYzvA3sA" TargetMode="External"/><Relationship Id="rId75" Type="http://schemas.openxmlformats.org/officeDocument/2006/relationships/hyperlink" Target="https://mp.weixin.qq.com/s/Tt1qglpOSqjg5RbKHSgpWw" TargetMode="External"/><Relationship Id="rId74" Type="http://schemas.openxmlformats.org/officeDocument/2006/relationships/hyperlink" Target="https://mp.weixin.qq.com/s/Revv0EU9BGBC6-09yExKXQ" TargetMode="External"/><Relationship Id="rId73" Type="http://schemas.openxmlformats.org/officeDocument/2006/relationships/hyperlink" Target="https://insurance.shunnengnet.com/?hosId=37740c7b6a094ee59b56b78d72f7bda0&amp;type=4&amp;pType=59yO5mibE6&amp;requestPage=guaranteeDetails" TargetMode="External"/><Relationship Id="rId72" Type="http://schemas.openxmlformats.org/officeDocument/2006/relationships/hyperlink" Target="https://mp.weixin.qq.com/s/7NMiqoXggTWmFWuRlFib-A" TargetMode="External"/><Relationship Id="rId71" Type="http://schemas.openxmlformats.org/officeDocument/2006/relationships/hyperlink" Target="https://m.ytbxjj.com/spcare-products/products_hz/?sources=1101910101&amp;skuCode=00000267&amp;saleChannelId=ecc008a2e2e0a623" TargetMode="External"/><Relationship Id="rId70" Type="http://schemas.openxmlformats.org/officeDocument/2006/relationships/hyperlink" Target="https://mp.weixin.qq.com/s/t2Kq65Urqw9Eg3iv5sNIfA" TargetMode="External"/><Relationship Id="rId7" Type="http://schemas.openxmlformats.org/officeDocument/2006/relationships/hyperlink" Target="https://mp.weixin.qq.com/s/TzPoAvO4fy2i86qcZli_hw" TargetMode="External"/><Relationship Id="rId69" Type="http://schemas.openxmlformats.org/officeDocument/2006/relationships/hyperlink" Target="https://q.eqxiu.com/s/B55waJjX?bt=yxy&amp;eqrcode=1&amp;share_level=1&amp;from_user=2020101676490504&amp;from_id=ea542c95-0&amp;share_time=1602817915069" TargetMode="External"/><Relationship Id="rId68" Type="http://schemas.openxmlformats.org/officeDocument/2006/relationships/hyperlink" Target="https://gc.pingan.com.cn/scms/g2c/index.html?city=dalian&amp;newClientType=03" TargetMode="External"/><Relationship Id="rId67" Type="http://schemas.openxmlformats.org/officeDocument/2006/relationships/hyperlink" Target="https://mp.weixin.qq.com/s/6FpDvL77ZVbADo6NI91qGA" TargetMode="External"/><Relationship Id="rId66" Type="http://schemas.openxmlformats.org/officeDocument/2006/relationships/hyperlink" Target="https://mp.weixin.qq.com/s/lsZBwT11ifhP02VLbSVdnw" TargetMode="External"/><Relationship Id="rId65" Type="http://schemas.openxmlformats.org/officeDocument/2006/relationships/hyperlink" Target="https://mp.weixin.qq.com/s/xz4Pyqci42jLS1JRUJKPow" TargetMode="External"/><Relationship Id="rId64" Type="http://schemas.openxmlformats.org/officeDocument/2006/relationships/hyperlink" Target="https://mp.weixin.qq.com/s/FzF5U6OfbzIJs5b4sslbrg" TargetMode="External"/><Relationship Id="rId63" Type="http://schemas.openxmlformats.org/officeDocument/2006/relationships/hyperlink" Target="https://ningbocsp.pension.taikang.com/view-cityplatform/ningbo/index/index.html" TargetMode="External"/><Relationship Id="rId62" Type="http://schemas.openxmlformats.org/officeDocument/2006/relationships/hyperlink" Target="https://mp.weixin.qq.com/s/9b66O1L_XY2iM5he6n1r8w" TargetMode="External"/><Relationship Id="rId61" Type="http://schemas.openxmlformats.org/officeDocument/2006/relationships/hyperlink" Target="file:///C:\Users\MAOS05\songz33_pfizer_com\Documents\Documents\WeChat Files\wxid_7el8tujrohmo12\FileStorage\File\2020-10\2010.10.19&#65288;&#27993;&#20029;&#20445;&#65289;&#23454;&#26045;&#26041;&#26696;&#65288;&#24449;&#27714;&#24847;&#35265;&#31295;&#65289;&#12299;.docx" TargetMode="External"/><Relationship Id="rId60" Type="http://schemas.openxmlformats.org/officeDocument/2006/relationships/hyperlink" Target="https://zcx.zrwbjj.com/jysmbh5/" TargetMode="External"/><Relationship Id="rId6" Type="http://schemas.openxmlformats.org/officeDocument/2006/relationships/hyperlink" Target="https://dgsmb.zrwbjj.com/" TargetMode="External"/><Relationship Id="rId59" Type="http://schemas.openxmlformats.org/officeDocument/2006/relationships/hyperlink" Target="https://zcx.zrwbjj.com/mmsmbh5/" TargetMode="External"/><Relationship Id="rId58" Type="http://schemas.openxmlformats.org/officeDocument/2006/relationships/hyperlink" Target="https://mp.weixin.qq.com/s/uyLLFmDWY1hfcq5wLt-xWg" TargetMode="External"/><Relationship Id="rId57" Type="http://schemas.openxmlformats.org/officeDocument/2006/relationships/hyperlink" Target="https://h5.360huiminbao.cn/ztweb" TargetMode="External"/><Relationship Id="rId56" Type="http://schemas.openxmlformats.org/officeDocument/2006/relationships/hyperlink" Target="https://mp.weixin.qq.com/s/S0heQ-MMwN9KrQ9kKNDiBA" TargetMode="External"/><Relationship Id="rId55" Type="http://schemas.openxmlformats.org/officeDocument/2006/relationships/hyperlink" Target="https://m.xyz.cn/specials/huiminbao/yt/index.html" TargetMode="External"/><Relationship Id="rId54" Type="http://schemas.openxmlformats.org/officeDocument/2006/relationships/hyperlink" Target="https://mp.weixin.qq.com/s/fEEbaC-s-JnDI77DZZ9r8Q" TargetMode="External"/><Relationship Id="rId53" Type="http://schemas.openxmlformats.org/officeDocument/2006/relationships/hyperlink" Target="https://m.aibangbaoxian.com/hsb?channelCode=GZH&amp;channelSource=cdl-canbaorukou" TargetMode="External"/><Relationship Id="rId52" Type="http://schemas.openxmlformats.org/officeDocument/2006/relationships/hyperlink" Target="https://weixin.piccjs.com/prpcollect/zmb/main/toLhbIndex?channel=gzh" TargetMode="External"/><Relationship Id="rId51" Type="http://schemas.openxmlformats.org/officeDocument/2006/relationships/hyperlink" Target="https://gc.pingan.com.cn/scms/g2c/index.html?productId=PR000036&amp;newClientType=0001" TargetMode="External"/><Relationship Id="rId50" Type="http://schemas.openxmlformats.org/officeDocument/2006/relationships/hyperlink" Target="https://mp.weixin.qq.com/s/iMD8WlCu6C5yA7Q6Sqazow" TargetMode="External"/><Relationship Id="rId5" Type="http://schemas.openxmlformats.org/officeDocument/2006/relationships/hyperlink" Target="https://czsmb.zrwbjj.com/" TargetMode="External"/><Relationship Id="rId49" Type="http://schemas.openxmlformats.org/officeDocument/2006/relationships/hyperlink" Target="https://mp.weixin.qq.com/s/79odgQ2xbJVXoWW044kX9A" TargetMode="External"/><Relationship Id="rId48" Type="http://schemas.openxmlformats.org/officeDocument/2006/relationships/hyperlink" Target="https://mp.weixin.qq.com/s/eKYqhxZfTplnCWbOap6niQ" TargetMode="External"/><Relationship Id="rId47" Type="http://schemas.openxmlformats.org/officeDocument/2006/relationships/hyperlink" Target="http://whb.epicc.com.cn/" TargetMode="External"/><Relationship Id="rId46" Type="http://schemas.openxmlformats.org/officeDocument/2006/relationships/hyperlink" Target="https://mp.weixin.qq.com/s/R-uJMViwweLR7Ge7_vaDEA" TargetMode="External"/><Relationship Id="rId45" Type="http://schemas.openxmlformats.org/officeDocument/2006/relationships/hyperlink" Target="https://bhb.baoxian72.com/site/index.html?fromSourceCode=yxhb00000098" TargetMode="External"/><Relationship Id="rId44" Type="http://schemas.openxmlformats.org/officeDocument/2006/relationships/hyperlink" Target="https://cloud.tk.cn/tkpage/S20200576/" TargetMode="External"/><Relationship Id="rId43" Type="http://schemas.openxmlformats.org/officeDocument/2006/relationships/hyperlink" Target="https://www.sdbao.com/pro/bohuibao?channel=1&amp;subchannel=1" TargetMode="External"/><Relationship Id="rId42" Type="http://schemas.openxmlformats.org/officeDocument/2006/relationships/hyperlink" Target="https://ebiz.baoxian72.com/site/jihuibaomobile/index.html?fromSourceCode=yxhb00000004" TargetMode="External"/><Relationship Id="rId41" Type="http://schemas.openxmlformats.org/officeDocument/2006/relationships/hyperlink" Target="https://mp.weixin.qq.com/s/8E-ANP3J0R3DczJuR-5FDg" TargetMode="External"/><Relationship Id="rId40" Type="http://schemas.openxmlformats.org/officeDocument/2006/relationships/hyperlink" Target="https://wyb.7glb.com/benefit/common/1857159020175632273?channelId=1343753924630099643&amp;productId=1627475442797767713" TargetMode="External"/><Relationship Id="rId4" Type="http://schemas.openxmlformats.org/officeDocument/2006/relationships/hyperlink" Target="https://m.qsebao.com/zbb/activityhgb?uuid=&amp;platform=wechat&amp;shareto=2&amp;timestamp=2020092515022013441275532" TargetMode="External"/><Relationship Id="rId39" Type="http://schemas.openxmlformats.org/officeDocument/2006/relationships/hyperlink" Target="https://mp.weixin.qq.com/s/WmUgVaALCCkHk2BGUA82TA" TargetMode="External"/><Relationship Id="rId38" Type="http://schemas.openxmlformats.org/officeDocument/2006/relationships/hyperlink" Target="https://m.ytbxjj.com/spcare-products/products_hz/?sources=1101710101&amp;skuCode=00000194&amp;saleChannelId=8217bb4e7fa0541e" TargetMode="External"/><Relationship Id="rId37" Type="http://schemas.openxmlformats.org/officeDocument/2006/relationships/hyperlink" Target="https://mp.weixin.qq.com/s/FYA5Do6eVoSiFEFSCUUyxg" TargetMode="External"/><Relationship Id="rId36" Type="http://schemas.openxmlformats.org/officeDocument/2006/relationships/hyperlink" Target="http://bccb.lshrss.cn/weiZfbHome" TargetMode="External"/><Relationship Id="rId35" Type="http://schemas.openxmlformats.org/officeDocument/2006/relationships/hyperlink" Target="https://hnqmb.zrwbjj.com/" TargetMode="External"/><Relationship Id="rId34" Type="http://schemas.openxmlformats.org/officeDocument/2006/relationships/hyperlink" Target="https://mp.weixin.qq.com/s/PlVirLcPMiU1qYH-sfsJig" TargetMode="External"/><Relationship Id="rId33" Type="http://schemas.openxmlformats.org/officeDocument/2006/relationships/hyperlink" Target="https://mp.weixin.qq.com/s/UfgqdAUEVz68wpKb6N7x5Q" TargetMode="External"/><Relationship Id="rId32" Type="http://schemas.openxmlformats.org/officeDocument/2006/relationships/hyperlink" Target="https://shop.njzhyl.cn/hmb-nt-2020/" TargetMode="External"/><Relationship Id="rId31" Type="http://schemas.openxmlformats.org/officeDocument/2006/relationships/hyperlink" Target="https://mp.weixin.qq.com/s/hSsXWsM1diexEiUtrmgeuw" TargetMode="External"/><Relationship Id="rId30" Type="http://schemas.openxmlformats.org/officeDocument/2006/relationships/hyperlink" Target="https://cs.v5kf.com/desk/kehu.html?site=170124&amp;human=0&amp;accountid=2988c03016077&amp;ip=117.136.45.6&amp;location=%7B%22countries%22%3A%22%E4%B8%AD%E5%9B%BD%22%2C%22province%22%3A%22%E6%B1%9F%E8%8B%8F%22%2C%22city%22%3A%22%22%7D" TargetMode="External"/><Relationship Id="rId3" Type="http://schemas.openxmlformats.org/officeDocument/2006/relationships/hyperlink" Target="http://lecheng.baoxian72.com/site/index.html" TargetMode="External"/><Relationship Id="rId29" Type="http://schemas.openxmlformats.org/officeDocument/2006/relationships/hyperlink" Target="https://mp.weixin.qq.com/s/kFq1kg2BcyPbmnIdzcc82Q" TargetMode="External"/><Relationship Id="rId28" Type="http://schemas.openxmlformats.org/officeDocument/2006/relationships/hyperlink" Target="https://mp.weixin.qq.com/s/GXvZulmFk5l98itCjimL-A" TargetMode="External"/><Relationship Id="rId27" Type="http://schemas.openxmlformats.org/officeDocument/2006/relationships/hyperlink" Target="https://gc.pingan.com.cn/scms/g2c/index.html?productId=PR000016&amp;newClientType=01" TargetMode="External"/><Relationship Id="rId26" Type="http://schemas.openxmlformats.org/officeDocument/2006/relationships/hyperlink" Target="https://mp.weixin.qq.com/s/rLfXm8gzcxcmpj2EbzLMfg" TargetMode="External"/><Relationship Id="rId25" Type="http://schemas.openxmlformats.org/officeDocument/2006/relationships/hyperlink" Target="https://mp.weixin.qq.com/s/BMf1JIKjHH14cqcfA2gGkA" TargetMode="External"/><Relationship Id="rId24" Type="http://schemas.openxmlformats.org/officeDocument/2006/relationships/hyperlink" Target="https://mp.weixin.qq.com/s/Wu10fPIfKTDTSGSZ0YIlFQ" TargetMode="External"/><Relationship Id="rId23" Type="http://schemas.openxmlformats.org/officeDocument/2006/relationships/hyperlink" Target="https://m.xyz.cn/specials/huiminbao/yc/invitee.html?openIdEn=ja3z88g2qmygapoyp64z4u5clyuxr8v9n71gaq44ph3jt4bt" TargetMode="External"/><Relationship Id="rId22" Type="http://schemas.openxmlformats.org/officeDocument/2006/relationships/hyperlink" Target="https://mp.weixin.qq.com/s/OqvUmHM2n0yaCVQWBtC6KA" TargetMode="External"/><Relationship Id="rId21" Type="http://schemas.openxmlformats.org/officeDocument/2006/relationships/hyperlink" Target="https://mp.weixin.qq.com/s/l0RSdNip5MZsQS3LemrKrA" TargetMode="External"/><Relationship Id="rId20" Type="http://schemas.openxmlformats.org/officeDocument/2006/relationships/hyperlink" Target="https://shop.njzhyl.cn/hmb-nj-v2/?source=Wechat" TargetMode="External"/><Relationship Id="rId2" Type="http://schemas.openxmlformats.org/officeDocument/2006/relationships/hyperlink" Target="http://wuhu.bendibao.com/news/2020512/8293.shtm" TargetMode="External"/><Relationship Id="rId19" Type="http://schemas.openxmlformats.org/officeDocument/2006/relationships/hyperlink" Target="http://shybpro.ciitc.com.cn/ciitchsi/index" TargetMode="External"/><Relationship Id="rId18" Type="http://schemas.openxmlformats.org/officeDocument/2006/relationships/hyperlink" Target="https://changshayyb.pension.taikang.com/view-citydocking/index/index.html" TargetMode="External"/><Relationship Id="rId17" Type="http://schemas.openxmlformats.org/officeDocument/2006/relationships/hyperlink" Target="http://yinchuan.huikang.yntcib.com/?channel=H01200000010030000%2F" TargetMode="External"/><Relationship Id="rId16" Type="http://schemas.openxmlformats.org/officeDocument/2006/relationships/hyperlink" Target="https://gc.pingan.com.cn/scms/g2c/index.html?productId=PR000021&amp;newClientType=11&amp;empNo=11" TargetMode="External"/><Relationship Id="rId15" Type="http://schemas.openxmlformats.org/officeDocument/2006/relationships/hyperlink" Target="https://mp.weixin.qq.com/s/KbJ4U3yro_hWVsy0lx6olw" TargetMode="External"/><Relationship Id="rId14" Type="http://schemas.openxmlformats.org/officeDocument/2006/relationships/hyperlink" Target="https://mp.weixin.qq.com/s/tLDBEtoDDC8LATQEJ9XygA" TargetMode="External"/><Relationship Id="rId13" Type="http://schemas.openxmlformats.org/officeDocument/2006/relationships/hyperlink" Target="https://mp.weixin.qq.com/s/8L4GMOsYzYveokgpKH4Zaw" TargetMode="External"/><Relationship Id="rId12" Type="http://schemas.openxmlformats.org/officeDocument/2006/relationships/hyperlink" Target="https://mp.weixin.qq.com/s/wWT5ZvLrHY5r4wBvffp2rA" TargetMode="External"/><Relationship Id="rId11" Type="http://schemas.openxmlformats.org/officeDocument/2006/relationships/hyperlink" Target="https://mp.weixin.qq.com/s/5V2q1wrB_FYCbqUkAB6eTw" TargetMode="External"/><Relationship Id="rId10" Type="http://schemas.openxmlformats.org/officeDocument/2006/relationships/hyperlink" Target="https://mi.szia.org.cn/szsb/?salesmanCode=PAPC31001" TargetMode="External"/><Relationship Id="rId1" Type="http://schemas.openxmlformats.org/officeDocument/2006/relationships/hyperlink" Target="https://mp.weixin.qq.com/s/96b60hrzfXbWxReiEQ2zsA" TargetMode="Externa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3"/>
  <sheetViews>
    <sheetView zoomScale="70" zoomScaleNormal="70" workbookViewId="0">
      <pane xSplit="3" ySplit="3" topLeftCell="K36" activePane="bottomRight" state="frozen"/>
      <selection/>
      <selection pane="topRight"/>
      <selection pane="bottomLeft"/>
      <selection pane="bottomRight" activeCell="W3" sqref="W3"/>
    </sheetView>
  </sheetViews>
  <sheetFormatPr defaultColWidth="12" defaultRowHeight="30" customHeight="1"/>
  <cols>
    <col min="1" max="1" width="6.08035714285714" style="111" customWidth="1"/>
    <col min="2" max="2" width="9.33035714285714" style="111" customWidth="1"/>
    <col min="3" max="3" width="17.3303571428571" style="111" customWidth="1"/>
    <col min="4" max="4" width="12" style="111"/>
    <col min="5" max="5" width="13.75" style="111" customWidth="1"/>
    <col min="6" max="7" width="12" style="111"/>
    <col min="8" max="8" width="7.83035714285714" style="111" customWidth="1"/>
    <col min="9" max="9" width="12" style="111"/>
    <col min="10" max="14" width="8.58035714285714" style="111" customWidth="1"/>
    <col min="15" max="15" width="25.3303571428571" style="111" customWidth="1"/>
    <col min="16" max="18" width="8.58035714285714" style="111" customWidth="1"/>
    <col min="19" max="25" width="12" style="111"/>
    <col min="26" max="26" width="13.0803571428571" style="111" customWidth="1"/>
    <col min="27" max="16384" width="12" style="111"/>
  </cols>
  <sheetData>
    <row r="1" s="110" customFormat="1" ht="16.8" spans="1:26">
      <c r="A1" s="112" t="s">
        <v>0</v>
      </c>
      <c r="B1" s="113" t="s">
        <v>1</v>
      </c>
      <c r="C1" s="114" t="s">
        <v>2</v>
      </c>
      <c r="D1" s="113" t="s">
        <v>3</v>
      </c>
      <c r="E1" s="114" t="s">
        <v>4</v>
      </c>
      <c r="F1" s="113" t="s">
        <v>5</v>
      </c>
      <c r="G1" s="114" t="s">
        <v>6</v>
      </c>
      <c r="H1" s="113" t="s">
        <v>7</v>
      </c>
      <c r="I1" s="114" t="s">
        <v>8</v>
      </c>
      <c r="J1" s="113" t="s">
        <v>9</v>
      </c>
      <c r="K1" s="113"/>
      <c r="L1" s="113"/>
      <c r="M1" s="113"/>
      <c r="N1" s="113"/>
      <c r="O1" s="113"/>
      <c r="P1" s="113"/>
      <c r="Q1" s="113"/>
      <c r="R1" s="113"/>
      <c r="S1" s="114" t="s">
        <v>10</v>
      </c>
      <c r="T1" s="114"/>
      <c r="U1" s="114" t="s">
        <v>11</v>
      </c>
      <c r="V1" s="113" t="s">
        <v>12</v>
      </c>
      <c r="W1" s="114" t="s">
        <v>13</v>
      </c>
      <c r="X1" s="114"/>
      <c r="Y1" s="114" t="s">
        <v>14</v>
      </c>
      <c r="Z1" s="113" t="s">
        <v>15</v>
      </c>
    </row>
    <row r="2" s="110" customFormat="1" ht="16.8" spans="1:26">
      <c r="A2" s="112"/>
      <c r="B2" s="113"/>
      <c r="C2" s="114"/>
      <c r="D2" s="113"/>
      <c r="E2" s="114"/>
      <c r="F2" s="113"/>
      <c r="G2" s="114"/>
      <c r="H2" s="113"/>
      <c r="I2" s="114"/>
      <c r="J2" s="115" t="s">
        <v>16</v>
      </c>
      <c r="K2" s="115"/>
      <c r="L2" s="115"/>
      <c r="M2" s="116" t="s">
        <v>17</v>
      </c>
      <c r="N2" s="116"/>
      <c r="O2" s="116"/>
      <c r="P2" s="116"/>
      <c r="Q2" s="116"/>
      <c r="R2" s="116"/>
      <c r="S2" s="114"/>
      <c r="T2" s="114"/>
      <c r="U2" s="114"/>
      <c r="V2" s="113"/>
      <c r="W2" s="114"/>
      <c r="X2" s="114"/>
      <c r="Y2" s="114"/>
      <c r="Z2" s="113"/>
    </row>
    <row r="3" s="110" customFormat="1" ht="31" spans="1:26">
      <c r="A3" s="112"/>
      <c r="B3" s="113"/>
      <c r="C3" s="114"/>
      <c r="D3" s="113"/>
      <c r="E3" s="114"/>
      <c r="F3" s="113"/>
      <c r="G3" s="114"/>
      <c r="H3" s="113"/>
      <c r="I3" s="116"/>
      <c r="J3" s="115" t="s">
        <v>18</v>
      </c>
      <c r="K3" s="117" t="s">
        <v>19</v>
      </c>
      <c r="L3" s="115" t="s">
        <v>20</v>
      </c>
      <c r="M3" s="116" t="s">
        <v>21</v>
      </c>
      <c r="N3" s="115" t="s">
        <v>22</v>
      </c>
      <c r="O3" s="116" t="s">
        <v>23</v>
      </c>
      <c r="P3" s="115" t="s">
        <v>24</v>
      </c>
      <c r="Q3" s="117" t="s">
        <v>25</v>
      </c>
      <c r="R3" s="115" t="s">
        <v>26</v>
      </c>
      <c r="S3" s="116" t="s">
        <v>27</v>
      </c>
      <c r="T3" s="115" t="s">
        <v>10</v>
      </c>
      <c r="U3" s="114"/>
      <c r="V3" s="113"/>
      <c r="W3" s="116" t="s">
        <v>28</v>
      </c>
      <c r="X3" s="115" t="s">
        <v>29</v>
      </c>
      <c r="Y3" s="114"/>
      <c r="Z3" s="113"/>
    </row>
    <row r="4" customHeight="1" spans="1:26">
      <c r="A4" s="118" t="s">
        <v>30</v>
      </c>
      <c r="B4" s="119" t="s">
        <v>30</v>
      </c>
      <c r="C4" s="120" t="s">
        <v>31</v>
      </c>
      <c r="D4" s="119" t="s">
        <v>31</v>
      </c>
      <c r="E4" s="121">
        <v>44075</v>
      </c>
      <c r="F4" s="119" t="s">
        <v>32</v>
      </c>
      <c r="G4" s="122" t="s">
        <v>33</v>
      </c>
      <c r="H4" s="119" t="s">
        <v>34</v>
      </c>
      <c r="I4" s="122" t="s">
        <v>35</v>
      </c>
      <c r="J4" s="119" t="s">
        <v>36</v>
      </c>
      <c r="K4" s="123">
        <v>0.8</v>
      </c>
      <c r="L4" s="119" t="s">
        <v>37</v>
      </c>
      <c r="M4" s="122" t="s">
        <v>36</v>
      </c>
      <c r="N4" s="119" t="s">
        <v>38</v>
      </c>
      <c r="O4" s="122" t="s">
        <v>39</v>
      </c>
      <c r="P4" s="119" t="s">
        <v>37</v>
      </c>
      <c r="Q4" s="123">
        <v>0.8</v>
      </c>
      <c r="R4" s="119"/>
      <c r="S4" s="122" t="s">
        <v>40</v>
      </c>
      <c r="T4" s="119"/>
      <c r="U4" s="122"/>
      <c r="V4" s="119"/>
      <c r="W4" s="122" t="s">
        <v>41</v>
      </c>
      <c r="X4" s="119"/>
      <c r="Y4" s="122"/>
      <c r="Z4" s="119"/>
    </row>
    <row r="5" customHeight="1" spans="1:26">
      <c r="A5" s="118"/>
      <c r="B5" s="119"/>
      <c r="C5" s="120" t="s">
        <v>42</v>
      </c>
      <c r="D5" s="119" t="s">
        <v>42</v>
      </c>
      <c r="E5" s="122">
        <v>2020</v>
      </c>
      <c r="F5" s="119" t="s">
        <v>32</v>
      </c>
      <c r="G5" s="122" t="s">
        <v>33</v>
      </c>
      <c r="H5" s="119" t="s">
        <v>34</v>
      </c>
      <c r="I5" s="122"/>
      <c r="J5" s="119" t="s">
        <v>36</v>
      </c>
      <c r="K5" s="123">
        <v>0.8</v>
      </c>
      <c r="L5" s="119" t="s">
        <v>43</v>
      </c>
      <c r="M5" s="122" t="s">
        <v>36</v>
      </c>
      <c r="N5" s="119" t="s">
        <v>44</v>
      </c>
      <c r="O5" s="122" t="s">
        <v>45</v>
      </c>
      <c r="P5" s="119" t="s">
        <v>37</v>
      </c>
      <c r="Q5" s="123">
        <v>0.8</v>
      </c>
      <c r="R5" s="119"/>
      <c r="S5" s="122" t="s">
        <v>46</v>
      </c>
      <c r="T5" s="119"/>
      <c r="U5" s="122"/>
      <c r="V5" s="119" t="s">
        <v>47</v>
      </c>
      <c r="W5" s="122" t="s">
        <v>48</v>
      </c>
      <c r="X5" s="119"/>
      <c r="Y5" s="122"/>
      <c r="Z5" s="119"/>
    </row>
    <row r="6" customHeight="1" spans="1:26">
      <c r="A6" s="118"/>
      <c r="B6" s="119"/>
      <c r="C6" s="124" t="s">
        <v>49</v>
      </c>
      <c r="D6" s="119"/>
      <c r="E6" s="122"/>
      <c r="F6" s="119"/>
      <c r="G6" s="122"/>
      <c r="H6" s="119" t="s">
        <v>34</v>
      </c>
      <c r="I6" s="124" t="s">
        <v>50</v>
      </c>
      <c r="J6" s="119" t="s">
        <v>36</v>
      </c>
      <c r="K6" s="125">
        <v>0.7</v>
      </c>
      <c r="L6" s="119" t="s">
        <v>37</v>
      </c>
      <c r="M6" s="124" t="s">
        <v>36</v>
      </c>
      <c r="N6" s="119" t="s">
        <v>51</v>
      </c>
      <c r="O6" s="124" t="s">
        <v>52</v>
      </c>
      <c r="P6" s="119" t="s">
        <v>37</v>
      </c>
      <c r="Q6" s="123">
        <v>0.7</v>
      </c>
      <c r="R6" s="119"/>
      <c r="S6" s="124" t="s">
        <v>40</v>
      </c>
      <c r="T6" s="119" t="s">
        <v>53</v>
      </c>
      <c r="U6" s="124"/>
      <c r="V6" s="119"/>
      <c r="W6" s="124" t="s">
        <v>54</v>
      </c>
      <c r="X6" s="119"/>
      <c r="Y6" s="124"/>
      <c r="Z6" s="119" t="s">
        <v>55</v>
      </c>
    </row>
    <row r="7" customHeight="1" spans="1:26">
      <c r="A7" s="118" t="s">
        <v>56</v>
      </c>
      <c r="B7" s="126" t="s">
        <v>56</v>
      </c>
      <c r="C7" s="120" t="s">
        <v>57</v>
      </c>
      <c r="D7" s="119" t="s">
        <v>58</v>
      </c>
      <c r="E7" s="122">
        <v>2020</v>
      </c>
      <c r="F7" s="119" t="s">
        <v>59</v>
      </c>
      <c r="G7" s="122" t="s">
        <v>60</v>
      </c>
      <c r="H7" s="119" t="s">
        <v>34</v>
      </c>
      <c r="I7" s="122" t="s">
        <v>61</v>
      </c>
      <c r="J7" s="119" t="s">
        <v>36</v>
      </c>
      <c r="K7" s="123">
        <v>1</v>
      </c>
      <c r="L7" s="119" t="s">
        <v>37</v>
      </c>
      <c r="M7" s="122">
        <v>0</v>
      </c>
      <c r="N7" s="119" t="s">
        <v>62</v>
      </c>
      <c r="O7" s="122" t="s">
        <v>63</v>
      </c>
      <c r="P7" s="119" t="s">
        <v>37</v>
      </c>
      <c r="Q7" s="123">
        <v>0.9</v>
      </c>
      <c r="R7" s="119"/>
      <c r="S7" s="122" t="s">
        <v>46</v>
      </c>
      <c r="T7" s="119" t="s">
        <v>64</v>
      </c>
      <c r="U7" s="122" t="s">
        <v>65</v>
      </c>
      <c r="V7" s="119" t="s">
        <v>66</v>
      </c>
      <c r="W7" s="122"/>
      <c r="X7" s="119"/>
      <c r="Y7" s="122" t="s">
        <v>67</v>
      </c>
      <c r="Z7" s="119">
        <v>95092055</v>
      </c>
    </row>
    <row r="8" customHeight="1" spans="1:26">
      <c r="A8" s="118"/>
      <c r="B8" s="126"/>
      <c r="C8" s="120" t="s">
        <v>68</v>
      </c>
      <c r="D8" s="119" t="s">
        <v>69</v>
      </c>
      <c r="E8" s="121" t="s">
        <v>70</v>
      </c>
      <c r="F8" s="119" t="s">
        <v>71</v>
      </c>
      <c r="G8" s="122"/>
      <c r="H8" s="119" t="s">
        <v>34</v>
      </c>
      <c r="I8" s="122" t="s">
        <v>72</v>
      </c>
      <c r="J8" s="119" t="s">
        <v>36</v>
      </c>
      <c r="K8" s="123">
        <v>0.8</v>
      </c>
      <c r="L8" s="119" t="s">
        <v>37</v>
      </c>
      <c r="M8" s="122" t="s">
        <v>36</v>
      </c>
      <c r="N8" s="119" t="s">
        <v>38</v>
      </c>
      <c r="O8" s="122" t="s">
        <v>73</v>
      </c>
      <c r="P8" s="119" t="s">
        <v>37</v>
      </c>
      <c r="Q8" s="123">
        <v>0.8</v>
      </c>
      <c r="R8" s="119"/>
      <c r="S8" s="122" t="s">
        <v>46</v>
      </c>
      <c r="T8" s="119" t="s">
        <v>74</v>
      </c>
      <c r="U8" s="122"/>
      <c r="V8" s="119" t="s">
        <v>75</v>
      </c>
      <c r="W8" s="122" t="s">
        <v>76</v>
      </c>
      <c r="X8" s="119" t="s">
        <v>77</v>
      </c>
      <c r="Y8" s="122" t="s">
        <v>78</v>
      </c>
      <c r="Z8" s="119" t="s">
        <v>79</v>
      </c>
    </row>
    <row r="9" customHeight="1" spans="1:26">
      <c r="A9" s="118" t="s">
        <v>80</v>
      </c>
      <c r="B9" s="126" t="s">
        <v>80</v>
      </c>
      <c r="C9" s="127" t="s">
        <v>81</v>
      </c>
      <c r="D9" s="128" t="s">
        <v>81</v>
      </c>
      <c r="E9" s="121">
        <v>44105</v>
      </c>
      <c r="F9" s="119" t="s">
        <v>82</v>
      </c>
      <c r="G9" s="122" t="s">
        <v>83</v>
      </c>
      <c r="H9" s="119"/>
      <c r="I9" s="122" t="s">
        <v>84</v>
      </c>
      <c r="J9" s="119" t="s">
        <v>36</v>
      </c>
      <c r="K9" s="129">
        <v>1</v>
      </c>
      <c r="L9" s="119" t="s">
        <v>37</v>
      </c>
      <c r="M9" s="122">
        <v>0</v>
      </c>
      <c r="N9" s="119" t="s">
        <v>85</v>
      </c>
      <c r="O9" s="122" t="s">
        <v>86</v>
      </c>
      <c r="P9" s="119" t="s">
        <v>37</v>
      </c>
      <c r="Q9" s="129">
        <v>1</v>
      </c>
      <c r="R9" s="119"/>
      <c r="S9" s="122" t="s">
        <v>87</v>
      </c>
      <c r="T9" s="119" t="s">
        <v>88</v>
      </c>
      <c r="U9" s="122"/>
      <c r="V9" s="119" t="s">
        <v>89</v>
      </c>
      <c r="W9" s="122" t="s">
        <v>90</v>
      </c>
      <c r="X9" s="119"/>
      <c r="Y9" s="122"/>
      <c r="Z9" s="119"/>
    </row>
    <row r="10" customHeight="1" spans="1:26">
      <c r="A10" s="118"/>
      <c r="B10" s="126"/>
      <c r="C10" s="127" t="s">
        <v>91</v>
      </c>
      <c r="D10" s="119" t="s">
        <v>91</v>
      </c>
      <c r="E10" s="121">
        <v>44105</v>
      </c>
      <c r="F10" s="119" t="s">
        <v>59</v>
      </c>
      <c r="G10" s="122" t="s">
        <v>92</v>
      </c>
      <c r="H10" s="119" t="s">
        <v>34</v>
      </c>
      <c r="I10" s="122" t="s">
        <v>93</v>
      </c>
      <c r="J10" s="119" t="s">
        <v>36</v>
      </c>
      <c r="K10" s="122" t="s">
        <v>94</v>
      </c>
      <c r="L10" s="119" t="s">
        <v>37</v>
      </c>
      <c r="M10" s="122">
        <v>0</v>
      </c>
      <c r="N10" s="119" t="s">
        <v>85</v>
      </c>
      <c r="O10" s="122" t="s">
        <v>95</v>
      </c>
      <c r="P10" s="119"/>
      <c r="Q10" s="129">
        <v>0.7</v>
      </c>
      <c r="R10" s="119"/>
      <c r="S10" s="122" t="s">
        <v>87</v>
      </c>
      <c r="T10" s="119" t="s">
        <v>96</v>
      </c>
      <c r="U10" s="122"/>
      <c r="V10" s="119" t="s">
        <v>97</v>
      </c>
      <c r="W10" s="122"/>
      <c r="X10" s="119"/>
      <c r="Y10" s="122" t="s">
        <v>98</v>
      </c>
      <c r="Z10" s="119" t="s">
        <v>99</v>
      </c>
    </row>
    <row r="11" customHeight="1" spans="1:26">
      <c r="A11" s="118" t="s">
        <v>100</v>
      </c>
      <c r="B11" s="130" t="s">
        <v>101</v>
      </c>
      <c r="C11" s="127" t="s">
        <v>102</v>
      </c>
      <c r="D11" s="128" t="s">
        <v>102</v>
      </c>
      <c r="E11" s="121" t="s">
        <v>103</v>
      </c>
      <c r="F11" s="119" t="s">
        <v>104</v>
      </c>
      <c r="G11" s="122" t="s">
        <v>105</v>
      </c>
      <c r="H11" s="131" t="s">
        <v>34</v>
      </c>
      <c r="I11" s="122" t="s">
        <v>106</v>
      </c>
      <c r="J11" s="119" t="s">
        <v>36</v>
      </c>
      <c r="K11" s="129">
        <v>0.75</v>
      </c>
      <c r="L11" s="119" t="s">
        <v>37</v>
      </c>
      <c r="M11" s="122" t="s">
        <v>107</v>
      </c>
      <c r="N11" s="119" t="s">
        <v>38</v>
      </c>
      <c r="O11" s="122" t="s">
        <v>108</v>
      </c>
      <c r="P11" s="119" t="s">
        <v>37</v>
      </c>
      <c r="Q11" s="129">
        <v>1</v>
      </c>
      <c r="R11" s="119"/>
      <c r="S11" s="122" t="s">
        <v>87</v>
      </c>
      <c r="T11" s="119" t="s">
        <v>109</v>
      </c>
      <c r="U11" s="122"/>
      <c r="V11" s="119"/>
      <c r="W11" s="122" t="s">
        <v>110</v>
      </c>
      <c r="X11" s="119" t="s">
        <v>111</v>
      </c>
      <c r="Y11" s="122" t="s">
        <v>112</v>
      </c>
      <c r="Z11" s="119" t="s">
        <v>113</v>
      </c>
    </row>
    <row r="12" customHeight="1" spans="1:26">
      <c r="A12" s="118" t="s">
        <v>114</v>
      </c>
      <c r="B12" s="130" t="s">
        <v>115</v>
      </c>
      <c r="C12" s="127" t="s">
        <v>116</v>
      </c>
      <c r="D12" s="128" t="s">
        <v>117</v>
      </c>
      <c r="E12" s="122" t="s">
        <v>118</v>
      </c>
      <c r="F12" s="132" t="s">
        <v>119</v>
      </c>
      <c r="G12" s="122" t="s">
        <v>120</v>
      </c>
      <c r="H12" s="119" t="s">
        <v>34</v>
      </c>
      <c r="I12" s="122" t="s">
        <v>61</v>
      </c>
      <c r="J12" s="119" t="s">
        <v>36</v>
      </c>
      <c r="K12" s="123">
        <v>1</v>
      </c>
      <c r="L12" s="119" t="s">
        <v>37</v>
      </c>
      <c r="M12" s="122"/>
      <c r="N12" s="119"/>
      <c r="O12" s="122"/>
      <c r="P12" s="119"/>
      <c r="Q12" s="123"/>
      <c r="R12" s="119"/>
      <c r="S12" s="122" t="s">
        <v>121</v>
      </c>
      <c r="T12" s="119" t="s">
        <v>122</v>
      </c>
      <c r="U12" s="122" t="s">
        <v>123</v>
      </c>
      <c r="V12" s="119" t="s">
        <v>124</v>
      </c>
      <c r="W12" s="122" t="s">
        <v>125</v>
      </c>
      <c r="X12" s="119" t="s">
        <v>126</v>
      </c>
      <c r="Y12" s="122"/>
      <c r="Z12" s="119" t="s">
        <v>127</v>
      </c>
    </row>
    <row r="13" customHeight="1" spans="1:26">
      <c r="A13" s="118"/>
      <c r="B13" s="119" t="s">
        <v>128</v>
      </c>
      <c r="C13" s="127" t="s">
        <v>129</v>
      </c>
      <c r="D13" s="128" t="s">
        <v>129</v>
      </c>
      <c r="E13" s="133">
        <v>43922</v>
      </c>
      <c r="F13" s="131" t="s">
        <v>130</v>
      </c>
      <c r="G13" s="133" t="s">
        <v>131</v>
      </c>
      <c r="H13" s="131" t="s">
        <v>34</v>
      </c>
      <c r="I13" s="122" t="s">
        <v>132</v>
      </c>
      <c r="J13" s="119" t="s">
        <v>36</v>
      </c>
      <c r="K13" s="123">
        <v>0.7</v>
      </c>
      <c r="L13" s="119" t="s">
        <v>37</v>
      </c>
      <c r="M13" s="122">
        <v>0</v>
      </c>
      <c r="N13" s="119" t="s">
        <v>38</v>
      </c>
      <c r="O13" s="122" t="s">
        <v>133</v>
      </c>
      <c r="P13" s="119" t="s">
        <v>37</v>
      </c>
      <c r="Q13" s="123">
        <v>0.7</v>
      </c>
      <c r="R13" s="119" t="s">
        <v>134</v>
      </c>
      <c r="S13" s="122" t="s">
        <v>135</v>
      </c>
      <c r="T13" s="119" t="s">
        <v>136</v>
      </c>
      <c r="U13" s="122" t="s">
        <v>137</v>
      </c>
      <c r="V13" s="119" t="s">
        <v>138</v>
      </c>
      <c r="W13" s="122" t="s">
        <v>139</v>
      </c>
      <c r="X13" s="119" t="s">
        <v>140</v>
      </c>
      <c r="Y13" s="122" t="s">
        <v>141</v>
      </c>
      <c r="Z13" s="119" t="s">
        <v>142</v>
      </c>
    </row>
    <row r="14" customHeight="1" spans="1:26">
      <c r="A14" s="118"/>
      <c r="B14" s="119" t="s">
        <v>143</v>
      </c>
      <c r="C14" s="127" t="s">
        <v>144</v>
      </c>
      <c r="D14" s="128" t="s">
        <v>144</v>
      </c>
      <c r="E14" s="133">
        <v>44013</v>
      </c>
      <c r="F14" s="131" t="s">
        <v>145</v>
      </c>
      <c r="G14" s="133" t="s">
        <v>146</v>
      </c>
      <c r="H14" s="131" t="s">
        <v>34</v>
      </c>
      <c r="I14" s="122" t="s">
        <v>147</v>
      </c>
      <c r="J14" s="119" t="s">
        <v>36</v>
      </c>
      <c r="K14" s="123">
        <v>0.8</v>
      </c>
      <c r="L14" s="119" t="s">
        <v>37</v>
      </c>
      <c r="M14" s="122"/>
      <c r="N14" s="119"/>
      <c r="O14" s="122" t="s">
        <v>148</v>
      </c>
      <c r="P14" s="119"/>
      <c r="Q14" s="123"/>
      <c r="R14" s="119"/>
      <c r="S14" s="122"/>
      <c r="T14" s="119" t="s">
        <v>136</v>
      </c>
      <c r="U14" s="122"/>
      <c r="V14" s="119" t="s">
        <v>149</v>
      </c>
      <c r="W14" s="122" t="s">
        <v>150</v>
      </c>
      <c r="X14" s="119" t="s">
        <v>151</v>
      </c>
      <c r="Y14" s="122" t="s">
        <v>152</v>
      </c>
      <c r="Z14" s="119"/>
    </row>
    <row r="15" customHeight="1" spans="1:26">
      <c r="A15" s="118"/>
      <c r="B15" s="119" t="s">
        <v>153</v>
      </c>
      <c r="C15" s="127" t="s">
        <v>154</v>
      </c>
      <c r="D15" s="128" t="s">
        <v>154</v>
      </c>
      <c r="E15" s="121">
        <v>44055</v>
      </c>
      <c r="F15" s="119" t="s">
        <v>155</v>
      </c>
      <c r="G15" s="122" t="s">
        <v>156</v>
      </c>
      <c r="H15" s="131" t="s">
        <v>34</v>
      </c>
      <c r="I15" s="122" t="s">
        <v>132</v>
      </c>
      <c r="J15" s="119" t="s">
        <v>36</v>
      </c>
      <c r="K15" s="129">
        <v>0.8</v>
      </c>
      <c r="L15" s="119" t="s">
        <v>37</v>
      </c>
      <c r="M15" s="122" t="s">
        <v>36</v>
      </c>
      <c r="N15" s="119" t="s">
        <v>38</v>
      </c>
      <c r="O15" s="122" t="s">
        <v>157</v>
      </c>
      <c r="P15" s="119" t="s">
        <v>65</v>
      </c>
      <c r="Q15" s="129">
        <v>0.8</v>
      </c>
      <c r="R15" s="119"/>
      <c r="S15" s="122" t="s">
        <v>87</v>
      </c>
      <c r="T15" s="119" t="s">
        <v>158</v>
      </c>
      <c r="U15" s="122"/>
      <c r="V15" s="119" t="s">
        <v>159</v>
      </c>
      <c r="W15" s="122" t="s">
        <v>160</v>
      </c>
      <c r="X15" s="119" t="s">
        <v>126</v>
      </c>
      <c r="Y15" s="122" t="s">
        <v>161</v>
      </c>
      <c r="Z15" s="119"/>
    </row>
    <row r="16" customHeight="1" spans="1:26">
      <c r="A16" s="118"/>
      <c r="B16" s="119"/>
      <c r="C16" s="127" t="s">
        <v>162</v>
      </c>
      <c r="D16" s="128" t="s">
        <v>162</v>
      </c>
      <c r="E16" s="121" t="s">
        <v>163</v>
      </c>
      <c r="F16" s="119" t="s">
        <v>164</v>
      </c>
      <c r="G16" s="122" t="s">
        <v>165</v>
      </c>
      <c r="H16" s="131" t="s">
        <v>34</v>
      </c>
      <c r="I16" s="122" t="s">
        <v>166</v>
      </c>
      <c r="J16" s="119"/>
      <c r="K16" s="129"/>
      <c r="L16" s="119"/>
      <c r="M16" s="122"/>
      <c r="N16" s="119" t="s">
        <v>85</v>
      </c>
      <c r="O16" s="122" t="s">
        <v>167</v>
      </c>
      <c r="P16" s="119"/>
      <c r="Q16" s="129"/>
      <c r="R16" s="119"/>
      <c r="S16" s="122" t="s">
        <v>87</v>
      </c>
      <c r="T16" s="119" t="s">
        <v>158</v>
      </c>
      <c r="U16" s="122"/>
      <c r="V16" s="119" t="s">
        <v>168</v>
      </c>
      <c r="W16" s="122" t="s">
        <v>169</v>
      </c>
      <c r="X16" s="119" t="s">
        <v>170</v>
      </c>
      <c r="Y16" s="122"/>
      <c r="Z16" s="119" t="s">
        <v>171</v>
      </c>
    </row>
    <row r="17" customHeight="1" spans="1:26">
      <c r="A17" s="118"/>
      <c r="B17" s="119" t="s">
        <v>172</v>
      </c>
      <c r="C17" s="134" t="s">
        <v>173</v>
      </c>
      <c r="D17" s="128" t="s">
        <v>173</v>
      </c>
      <c r="E17" s="121" t="s">
        <v>174</v>
      </c>
      <c r="F17" s="119" t="s">
        <v>175</v>
      </c>
      <c r="G17" s="122" t="s">
        <v>176</v>
      </c>
      <c r="H17" s="119" t="s">
        <v>34</v>
      </c>
      <c r="I17" s="122" t="s">
        <v>177</v>
      </c>
      <c r="J17" s="119" t="s">
        <v>36</v>
      </c>
      <c r="K17" s="129">
        <v>0.8</v>
      </c>
      <c r="L17" s="119" t="s">
        <v>37</v>
      </c>
      <c r="M17" s="122">
        <v>0</v>
      </c>
      <c r="N17" s="119" t="s">
        <v>38</v>
      </c>
      <c r="O17" s="122" t="s">
        <v>178</v>
      </c>
      <c r="P17" s="119"/>
      <c r="Q17" s="129">
        <v>0.8</v>
      </c>
      <c r="R17" s="119"/>
      <c r="S17" s="122" t="s">
        <v>87</v>
      </c>
      <c r="T17" s="119" t="s">
        <v>136</v>
      </c>
      <c r="U17" s="122"/>
      <c r="V17" s="119" t="s">
        <v>179</v>
      </c>
      <c r="W17" s="122" t="s">
        <v>180</v>
      </c>
      <c r="X17" s="119" t="s">
        <v>181</v>
      </c>
      <c r="Y17" s="122" t="s">
        <v>182</v>
      </c>
      <c r="Z17" s="119" t="s">
        <v>183</v>
      </c>
    </row>
    <row r="18" customHeight="1" spans="1:26">
      <c r="A18" s="118"/>
      <c r="B18" s="119" t="s">
        <v>184</v>
      </c>
      <c r="C18" s="127" t="s">
        <v>185</v>
      </c>
      <c r="D18" s="128" t="s">
        <v>185</v>
      </c>
      <c r="E18" s="121">
        <v>44131</v>
      </c>
      <c r="F18" s="119" t="s">
        <v>186</v>
      </c>
      <c r="G18" s="122" t="s">
        <v>187</v>
      </c>
      <c r="H18" s="119" t="s">
        <v>34</v>
      </c>
      <c r="I18" s="122" t="s">
        <v>84</v>
      </c>
      <c r="J18" s="119" t="s">
        <v>36</v>
      </c>
      <c r="K18" s="129">
        <v>0.6</v>
      </c>
      <c r="L18" s="119" t="s">
        <v>37</v>
      </c>
      <c r="M18" s="122" t="s">
        <v>36</v>
      </c>
      <c r="N18" s="119" t="s">
        <v>188</v>
      </c>
      <c r="O18" s="122" t="s">
        <v>189</v>
      </c>
      <c r="P18" s="119"/>
      <c r="Q18" s="129">
        <v>0.5</v>
      </c>
      <c r="R18" s="119" t="s">
        <v>134</v>
      </c>
      <c r="S18" s="122" t="s">
        <v>185</v>
      </c>
      <c r="T18" s="119" t="s">
        <v>190</v>
      </c>
      <c r="U18" s="122"/>
      <c r="V18" s="119"/>
      <c r="W18" s="122"/>
      <c r="X18" s="119"/>
      <c r="Y18" s="122" t="s">
        <v>191</v>
      </c>
      <c r="Z18" s="119" t="s">
        <v>192</v>
      </c>
    </row>
    <row r="19" customHeight="1" spans="1:26">
      <c r="A19" s="118"/>
      <c r="B19" s="119" t="s">
        <v>193</v>
      </c>
      <c r="C19" s="127" t="s">
        <v>194</v>
      </c>
      <c r="D19" s="128" t="s">
        <v>194</v>
      </c>
      <c r="E19" s="121">
        <v>44044</v>
      </c>
      <c r="F19" s="119" t="s">
        <v>195</v>
      </c>
      <c r="G19" s="122" t="s">
        <v>196</v>
      </c>
      <c r="H19" s="119" t="s">
        <v>34</v>
      </c>
      <c r="I19" s="122" t="s">
        <v>84</v>
      </c>
      <c r="J19" s="119" t="s">
        <v>36</v>
      </c>
      <c r="K19" s="129">
        <v>0.8</v>
      </c>
      <c r="L19" s="119" t="s">
        <v>37</v>
      </c>
      <c r="M19" s="122">
        <v>0</v>
      </c>
      <c r="N19" s="119" t="s">
        <v>38</v>
      </c>
      <c r="O19" s="122" t="s">
        <v>197</v>
      </c>
      <c r="P19" s="119" t="s">
        <v>37</v>
      </c>
      <c r="Q19" s="129" t="s">
        <v>198</v>
      </c>
      <c r="R19" s="119"/>
      <c r="S19" s="122" t="s">
        <v>87</v>
      </c>
      <c r="T19" s="119" t="s">
        <v>199</v>
      </c>
      <c r="U19" s="122"/>
      <c r="V19" s="119" t="s">
        <v>200</v>
      </c>
      <c r="W19" s="122" t="s">
        <v>201</v>
      </c>
      <c r="X19" s="119" t="s">
        <v>126</v>
      </c>
      <c r="Y19" s="122"/>
      <c r="Z19" s="119"/>
    </row>
    <row r="20" customHeight="1" spans="1:26">
      <c r="A20" s="118"/>
      <c r="B20" s="119" t="s">
        <v>202</v>
      </c>
      <c r="C20" s="134" t="s">
        <v>203</v>
      </c>
      <c r="D20" s="128" t="s">
        <v>203</v>
      </c>
      <c r="E20" s="121" t="s">
        <v>204</v>
      </c>
      <c r="F20" s="119" t="s">
        <v>82</v>
      </c>
      <c r="G20" s="122" t="s">
        <v>205</v>
      </c>
      <c r="H20" s="119" t="s">
        <v>34</v>
      </c>
      <c r="I20" s="122" t="s">
        <v>132</v>
      </c>
      <c r="J20" s="119" t="s">
        <v>36</v>
      </c>
      <c r="K20" s="129">
        <v>0.8</v>
      </c>
      <c r="L20" s="119" t="s">
        <v>37</v>
      </c>
      <c r="M20" s="122">
        <v>0</v>
      </c>
      <c r="N20" s="119" t="s">
        <v>38</v>
      </c>
      <c r="O20" s="122" t="s">
        <v>206</v>
      </c>
      <c r="P20" s="119" t="s">
        <v>37</v>
      </c>
      <c r="Q20" s="129">
        <v>0.8</v>
      </c>
      <c r="R20" s="119"/>
      <c r="S20" s="122" t="s">
        <v>87</v>
      </c>
      <c r="T20" s="119" t="s">
        <v>207</v>
      </c>
      <c r="U20" s="122"/>
      <c r="V20" s="119" t="s">
        <v>208</v>
      </c>
      <c r="W20" s="122"/>
      <c r="X20" s="119" t="s">
        <v>209</v>
      </c>
      <c r="Y20" s="122" t="s">
        <v>210</v>
      </c>
      <c r="Z20" s="119">
        <v>95518</v>
      </c>
    </row>
    <row r="21" customHeight="1" spans="1:26">
      <c r="A21" s="118"/>
      <c r="B21" s="119" t="s">
        <v>211</v>
      </c>
      <c r="C21" s="127" t="s">
        <v>212</v>
      </c>
      <c r="D21" s="128" t="s">
        <v>212</v>
      </c>
      <c r="E21" s="121">
        <v>44044</v>
      </c>
      <c r="F21" s="119" t="s">
        <v>195</v>
      </c>
      <c r="G21" s="122" t="s">
        <v>196</v>
      </c>
      <c r="H21" s="119" t="s">
        <v>34</v>
      </c>
      <c r="I21" s="122" t="s">
        <v>147</v>
      </c>
      <c r="J21" s="119" t="s">
        <v>213</v>
      </c>
      <c r="K21" s="122" t="s">
        <v>214</v>
      </c>
      <c r="L21" s="119" t="s">
        <v>215</v>
      </c>
      <c r="M21" s="122" t="s">
        <v>213</v>
      </c>
      <c r="N21" s="119" t="s">
        <v>134</v>
      </c>
      <c r="O21" s="122"/>
      <c r="P21" s="119" t="s">
        <v>215</v>
      </c>
      <c r="Q21" s="122" t="s">
        <v>214</v>
      </c>
      <c r="R21" s="119"/>
      <c r="S21" s="122" t="s">
        <v>87</v>
      </c>
      <c r="T21" s="119" t="s">
        <v>136</v>
      </c>
      <c r="U21" s="122"/>
      <c r="V21" s="119"/>
      <c r="W21" s="122" t="s">
        <v>216</v>
      </c>
      <c r="X21" s="119" t="s">
        <v>217</v>
      </c>
      <c r="Y21" s="122" t="s">
        <v>218</v>
      </c>
      <c r="Z21" s="119"/>
    </row>
    <row r="22" customHeight="1" spans="1:26">
      <c r="A22" s="118" t="s">
        <v>219</v>
      </c>
      <c r="B22" s="130" t="s">
        <v>220</v>
      </c>
      <c r="C22" s="127" t="s">
        <v>221</v>
      </c>
      <c r="D22" s="128" t="s">
        <v>221</v>
      </c>
      <c r="E22" s="133" t="s">
        <v>222</v>
      </c>
      <c r="F22" s="131" t="s">
        <v>223</v>
      </c>
      <c r="G22" s="133" t="s">
        <v>224</v>
      </c>
      <c r="H22" s="131"/>
      <c r="I22" s="122" t="s">
        <v>225</v>
      </c>
      <c r="J22" s="119" t="s">
        <v>36</v>
      </c>
      <c r="K22" s="123">
        <v>0.75</v>
      </c>
      <c r="L22" s="119" t="s">
        <v>37</v>
      </c>
      <c r="M22" s="122">
        <v>0</v>
      </c>
      <c r="N22" s="119" t="s">
        <v>226</v>
      </c>
      <c r="O22" s="122" t="s">
        <v>227</v>
      </c>
      <c r="P22" s="119" t="s">
        <v>37</v>
      </c>
      <c r="Q22" s="123">
        <v>0.75</v>
      </c>
      <c r="R22" s="119" t="s">
        <v>134</v>
      </c>
      <c r="S22" s="122" t="s">
        <v>228</v>
      </c>
      <c r="T22" s="119" t="s">
        <v>207</v>
      </c>
      <c r="U22" s="122"/>
      <c r="V22" s="119" t="s">
        <v>229</v>
      </c>
      <c r="W22" s="122" t="s">
        <v>230</v>
      </c>
      <c r="X22" s="119" t="s">
        <v>140</v>
      </c>
      <c r="Y22" s="122"/>
      <c r="Z22" s="119"/>
    </row>
    <row r="23" customHeight="1" spans="1:26">
      <c r="A23" s="118"/>
      <c r="B23" s="119" t="s">
        <v>231</v>
      </c>
      <c r="C23" s="127" t="s">
        <v>232</v>
      </c>
      <c r="D23" s="128" t="s">
        <v>232</v>
      </c>
      <c r="E23" s="133" t="s">
        <v>233</v>
      </c>
      <c r="F23" s="131" t="s">
        <v>82</v>
      </c>
      <c r="G23" s="133" t="s">
        <v>234</v>
      </c>
      <c r="H23" s="131" t="s">
        <v>34</v>
      </c>
      <c r="I23" s="122"/>
      <c r="J23" s="119" t="s">
        <v>36</v>
      </c>
      <c r="K23" s="123" t="s">
        <v>235</v>
      </c>
      <c r="L23" s="119" t="s">
        <v>236</v>
      </c>
      <c r="M23" s="122" t="s">
        <v>237</v>
      </c>
      <c r="N23" s="119" t="s">
        <v>134</v>
      </c>
      <c r="O23" s="122" t="s">
        <v>134</v>
      </c>
      <c r="P23" s="119" t="s">
        <v>238</v>
      </c>
      <c r="Q23" s="123" t="s">
        <v>235</v>
      </c>
      <c r="R23" s="119"/>
      <c r="S23" s="122" t="s">
        <v>239</v>
      </c>
      <c r="T23" s="119"/>
      <c r="U23" s="122"/>
      <c r="V23" s="119"/>
      <c r="W23" s="122" t="s">
        <v>240</v>
      </c>
      <c r="X23" s="119"/>
      <c r="Y23" s="122" t="s">
        <v>241</v>
      </c>
      <c r="Z23" s="119">
        <v>2070333</v>
      </c>
    </row>
    <row r="24" customHeight="1" spans="1:26">
      <c r="A24" s="118"/>
      <c r="B24" s="119" t="s">
        <v>242</v>
      </c>
      <c r="C24" s="127" t="s">
        <v>243</v>
      </c>
      <c r="D24" s="128"/>
      <c r="E24" s="133"/>
      <c r="F24" s="131"/>
      <c r="G24" s="133"/>
      <c r="H24" s="131"/>
      <c r="I24" s="122"/>
      <c r="J24" s="119"/>
      <c r="K24" s="123"/>
      <c r="L24" s="119"/>
      <c r="M24" s="122"/>
      <c r="N24" s="119"/>
      <c r="O24" s="122"/>
      <c r="P24" s="119"/>
      <c r="Q24" s="123"/>
      <c r="R24" s="119"/>
      <c r="S24" s="122"/>
      <c r="T24" s="119"/>
      <c r="U24" s="122"/>
      <c r="V24" s="119"/>
      <c r="W24" s="122"/>
      <c r="X24" s="119"/>
      <c r="Y24" s="122"/>
      <c r="Z24" s="119"/>
    </row>
    <row r="25" customHeight="1" spans="1:26">
      <c r="A25" s="118"/>
      <c r="B25" s="119" t="s">
        <v>244</v>
      </c>
      <c r="C25" s="127" t="s">
        <v>245</v>
      </c>
      <c r="D25" s="128" t="s">
        <v>246</v>
      </c>
      <c r="E25" s="133">
        <v>44013</v>
      </c>
      <c r="F25" s="131" t="s">
        <v>247</v>
      </c>
      <c r="G25" s="133" t="s">
        <v>248</v>
      </c>
      <c r="H25" s="131" t="s">
        <v>34</v>
      </c>
      <c r="I25" s="122" t="s">
        <v>225</v>
      </c>
      <c r="J25" s="119" t="s">
        <v>36</v>
      </c>
      <c r="K25" s="123">
        <v>1</v>
      </c>
      <c r="L25" s="119" t="s">
        <v>37</v>
      </c>
      <c r="M25" s="122" t="s">
        <v>36</v>
      </c>
      <c r="N25" s="119" t="s">
        <v>249</v>
      </c>
      <c r="O25" s="122" t="s">
        <v>250</v>
      </c>
      <c r="P25" s="119" t="s">
        <v>37</v>
      </c>
      <c r="Q25" s="123">
        <v>0.7</v>
      </c>
      <c r="R25" s="119"/>
      <c r="S25" s="122" t="s">
        <v>87</v>
      </c>
      <c r="T25" s="119" t="s">
        <v>251</v>
      </c>
      <c r="U25" s="122" t="s">
        <v>252</v>
      </c>
      <c r="V25" s="119" t="s">
        <v>253</v>
      </c>
      <c r="W25" s="122" t="s">
        <v>254</v>
      </c>
      <c r="X25" s="119" t="s">
        <v>255</v>
      </c>
      <c r="Y25" s="122" t="s">
        <v>256</v>
      </c>
      <c r="Z25" s="119">
        <v>95092055</v>
      </c>
    </row>
    <row r="26" customHeight="1" spans="1:26">
      <c r="A26" s="118"/>
      <c r="B26" s="119"/>
      <c r="C26" s="127" t="s">
        <v>257</v>
      </c>
      <c r="D26" s="128" t="s">
        <v>257</v>
      </c>
      <c r="E26" s="133" t="s">
        <v>258</v>
      </c>
      <c r="F26" s="131" t="s">
        <v>82</v>
      </c>
      <c r="G26" s="133" t="s">
        <v>259</v>
      </c>
      <c r="H26" s="131" t="s">
        <v>34</v>
      </c>
      <c r="I26" s="122" t="s">
        <v>225</v>
      </c>
      <c r="J26" s="119" t="s">
        <v>36</v>
      </c>
      <c r="K26" s="123">
        <v>1</v>
      </c>
      <c r="L26" s="119" t="s">
        <v>260</v>
      </c>
      <c r="M26" s="122" t="s">
        <v>36</v>
      </c>
      <c r="N26" s="119" t="s">
        <v>261</v>
      </c>
      <c r="O26" s="122" t="s">
        <v>262</v>
      </c>
      <c r="P26" s="119" t="s">
        <v>260</v>
      </c>
      <c r="Q26" s="123">
        <v>0.75</v>
      </c>
      <c r="R26" s="119"/>
      <c r="S26" s="122" t="s">
        <v>263</v>
      </c>
      <c r="T26" s="119" t="s">
        <v>264</v>
      </c>
      <c r="U26" s="122"/>
      <c r="V26" s="119"/>
      <c r="W26" s="122" t="s">
        <v>265</v>
      </c>
      <c r="X26" s="119" t="s">
        <v>266</v>
      </c>
      <c r="Y26" s="122" t="s">
        <v>267</v>
      </c>
      <c r="Z26" s="119" t="s">
        <v>268</v>
      </c>
    </row>
    <row r="27" customHeight="1" spans="1:26">
      <c r="A27" s="118"/>
      <c r="B27" s="119"/>
      <c r="C27" s="127" t="s">
        <v>269</v>
      </c>
      <c r="D27" s="128" t="s">
        <v>269</v>
      </c>
      <c r="E27" s="133">
        <v>44044</v>
      </c>
      <c r="F27" s="131" t="s">
        <v>270</v>
      </c>
      <c r="G27" s="133" t="s">
        <v>271</v>
      </c>
      <c r="H27" s="131"/>
      <c r="I27" s="122" t="s">
        <v>225</v>
      </c>
      <c r="J27" s="119" t="s">
        <v>36</v>
      </c>
      <c r="K27" s="123">
        <v>0.7</v>
      </c>
      <c r="L27" s="119" t="s">
        <v>37</v>
      </c>
      <c r="M27" s="122" t="s">
        <v>36</v>
      </c>
      <c r="N27" s="119" t="s">
        <v>38</v>
      </c>
      <c r="O27" s="122" t="s">
        <v>272</v>
      </c>
      <c r="P27" s="119" t="s">
        <v>37</v>
      </c>
      <c r="Q27" s="123">
        <v>0.7</v>
      </c>
      <c r="R27" s="119" t="s">
        <v>36</v>
      </c>
      <c r="S27" s="122" t="s">
        <v>87</v>
      </c>
      <c r="T27" s="119" t="s">
        <v>273</v>
      </c>
      <c r="U27" s="122"/>
      <c r="V27" s="119" t="s">
        <v>274</v>
      </c>
      <c r="W27" s="122" t="s">
        <v>275</v>
      </c>
      <c r="X27" s="119" t="s">
        <v>276</v>
      </c>
      <c r="Y27" s="122"/>
      <c r="Z27" s="119"/>
    </row>
    <row r="28" customHeight="1" spans="1:26">
      <c r="A28" s="118"/>
      <c r="B28" s="119" t="s">
        <v>277</v>
      </c>
      <c r="C28" s="127" t="s">
        <v>278</v>
      </c>
      <c r="D28" s="128" t="s">
        <v>279</v>
      </c>
      <c r="E28" s="133">
        <v>44053</v>
      </c>
      <c r="F28" s="131" t="s">
        <v>280</v>
      </c>
      <c r="G28" s="133" t="s">
        <v>281</v>
      </c>
      <c r="H28" s="131"/>
      <c r="I28" s="122" t="s">
        <v>282</v>
      </c>
      <c r="J28" s="119" t="s">
        <v>36</v>
      </c>
      <c r="K28" s="129">
        <v>0.7</v>
      </c>
      <c r="L28" s="119" t="s">
        <v>37</v>
      </c>
      <c r="M28" s="122">
        <v>0</v>
      </c>
      <c r="N28" s="119" t="s">
        <v>85</v>
      </c>
      <c r="O28" s="122" t="s">
        <v>283</v>
      </c>
      <c r="P28" s="119" t="s">
        <v>37</v>
      </c>
      <c r="Q28" s="129">
        <v>0.7</v>
      </c>
      <c r="R28" s="119"/>
      <c r="S28" s="122" t="s">
        <v>284</v>
      </c>
      <c r="T28" s="119" t="s">
        <v>251</v>
      </c>
      <c r="U28" s="122"/>
      <c r="V28" s="119" t="s">
        <v>285</v>
      </c>
      <c r="W28" s="122" t="s">
        <v>286</v>
      </c>
      <c r="X28" s="119" t="s">
        <v>287</v>
      </c>
      <c r="Y28" s="122" t="s">
        <v>288</v>
      </c>
      <c r="Z28" s="119"/>
    </row>
    <row r="29" customHeight="1" spans="1:26">
      <c r="A29" s="118"/>
      <c r="B29" s="119" t="s">
        <v>289</v>
      </c>
      <c r="C29" s="127" t="s">
        <v>290</v>
      </c>
      <c r="D29" s="128" t="s">
        <v>290</v>
      </c>
      <c r="E29" s="133"/>
      <c r="F29" s="131" t="s">
        <v>155</v>
      </c>
      <c r="G29" s="133" t="s">
        <v>291</v>
      </c>
      <c r="H29" s="131"/>
      <c r="I29" s="122" t="s">
        <v>84</v>
      </c>
      <c r="J29" s="119" t="s">
        <v>292</v>
      </c>
      <c r="K29" s="129">
        <v>0.75</v>
      </c>
      <c r="L29" s="119" t="s">
        <v>293</v>
      </c>
      <c r="M29" s="122" t="s">
        <v>292</v>
      </c>
      <c r="N29" s="119" t="s">
        <v>294</v>
      </c>
      <c r="O29" s="122" t="s">
        <v>295</v>
      </c>
      <c r="P29" s="119" t="s">
        <v>293</v>
      </c>
      <c r="Q29" s="129">
        <v>0.75</v>
      </c>
      <c r="R29" s="119"/>
      <c r="S29" s="122" t="s">
        <v>87</v>
      </c>
      <c r="T29" s="119" t="s">
        <v>296</v>
      </c>
      <c r="U29" s="122"/>
      <c r="V29" s="119" t="s">
        <v>297</v>
      </c>
      <c r="W29" s="122" t="s">
        <v>298</v>
      </c>
      <c r="X29" s="119" t="s">
        <v>299</v>
      </c>
      <c r="Y29" s="122"/>
      <c r="Z29" s="119" t="s">
        <v>300</v>
      </c>
    </row>
    <row r="30" customHeight="1" spans="1:26">
      <c r="A30" s="118"/>
      <c r="B30" s="119" t="s">
        <v>301</v>
      </c>
      <c r="C30" s="127" t="s">
        <v>302</v>
      </c>
      <c r="D30" s="119" t="s">
        <v>302</v>
      </c>
      <c r="E30" s="133">
        <v>44061</v>
      </c>
      <c r="F30" s="131" t="s">
        <v>155</v>
      </c>
      <c r="G30" s="133" t="s">
        <v>303</v>
      </c>
      <c r="H30" s="131"/>
      <c r="I30" s="122" t="s">
        <v>225</v>
      </c>
      <c r="J30" s="119" t="s">
        <v>36</v>
      </c>
      <c r="K30" s="129">
        <v>0.75</v>
      </c>
      <c r="L30" s="119" t="s">
        <v>37</v>
      </c>
      <c r="M30" s="122" t="s">
        <v>36</v>
      </c>
      <c r="N30" s="119" t="s">
        <v>38</v>
      </c>
      <c r="O30" s="122" t="s">
        <v>304</v>
      </c>
      <c r="P30" s="119" t="s">
        <v>37</v>
      </c>
      <c r="Q30" s="129">
        <v>0.75</v>
      </c>
      <c r="R30" s="119"/>
      <c r="S30" s="122" t="s">
        <v>87</v>
      </c>
      <c r="T30" s="119" t="s">
        <v>251</v>
      </c>
      <c r="U30" s="122"/>
      <c r="V30" s="119"/>
      <c r="W30" s="122" t="s">
        <v>305</v>
      </c>
      <c r="X30" s="119"/>
      <c r="Y30" s="122" t="s">
        <v>306</v>
      </c>
      <c r="Z30" s="119"/>
    </row>
    <row r="31" customHeight="1" spans="1:26">
      <c r="A31" s="118" t="s">
        <v>307</v>
      </c>
      <c r="B31" s="130" t="s">
        <v>308</v>
      </c>
      <c r="C31" s="127" t="s">
        <v>309</v>
      </c>
      <c r="D31" s="128" t="s">
        <v>309</v>
      </c>
      <c r="E31" s="133">
        <v>44082</v>
      </c>
      <c r="F31" s="131" t="s">
        <v>310</v>
      </c>
      <c r="G31" s="133" t="s">
        <v>311</v>
      </c>
      <c r="H31" s="131" t="s">
        <v>34</v>
      </c>
      <c r="I31" s="122" t="s">
        <v>166</v>
      </c>
      <c r="J31" s="119" t="s">
        <v>36</v>
      </c>
      <c r="K31" s="123">
        <v>0.75</v>
      </c>
      <c r="L31" s="119" t="s">
        <v>37</v>
      </c>
      <c r="M31" s="122"/>
      <c r="N31" s="119" t="s">
        <v>134</v>
      </c>
      <c r="O31" s="122" t="s">
        <v>134</v>
      </c>
      <c r="P31" s="119"/>
      <c r="Q31" s="123"/>
      <c r="R31" s="119" t="s">
        <v>312</v>
      </c>
      <c r="S31" s="122" t="s">
        <v>87</v>
      </c>
      <c r="T31" s="119" t="s">
        <v>190</v>
      </c>
      <c r="U31" s="122"/>
      <c r="V31" s="119" t="s">
        <v>313</v>
      </c>
      <c r="W31" s="122" t="s">
        <v>314</v>
      </c>
      <c r="X31" s="119" t="s">
        <v>315</v>
      </c>
      <c r="Y31" s="122" t="s">
        <v>316</v>
      </c>
      <c r="Z31" s="119"/>
    </row>
    <row r="32" customHeight="1" spans="1:26">
      <c r="A32" s="118"/>
      <c r="B32" s="119" t="s">
        <v>317</v>
      </c>
      <c r="C32" s="127" t="s">
        <v>318</v>
      </c>
      <c r="D32" s="128" t="s">
        <v>318</v>
      </c>
      <c r="E32" s="133" t="s">
        <v>319</v>
      </c>
      <c r="F32" s="131" t="s">
        <v>320</v>
      </c>
      <c r="G32" s="133" t="s">
        <v>321</v>
      </c>
      <c r="H32" s="131" t="s">
        <v>34</v>
      </c>
      <c r="I32" s="122" t="s">
        <v>166</v>
      </c>
      <c r="J32" s="119" t="s">
        <v>36</v>
      </c>
      <c r="K32" s="123">
        <v>0.8</v>
      </c>
      <c r="L32" s="119" t="s">
        <v>37</v>
      </c>
      <c r="M32" s="122">
        <v>0</v>
      </c>
      <c r="N32" s="119" t="s">
        <v>38</v>
      </c>
      <c r="O32" s="122" t="s">
        <v>322</v>
      </c>
      <c r="P32" s="119" t="s">
        <v>37</v>
      </c>
      <c r="Q32" s="123">
        <v>0.8</v>
      </c>
      <c r="R32" s="119"/>
      <c r="S32" s="122" t="s">
        <v>323</v>
      </c>
      <c r="T32" s="119" t="s">
        <v>158</v>
      </c>
      <c r="U32" s="122"/>
      <c r="V32" s="119" t="s">
        <v>324</v>
      </c>
      <c r="W32" s="122" t="s">
        <v>325</v>
      </c>
      <c r="X32" s="119" t="s">
        <v>326</v>
      </c>
      <c r="Y32" s="122" t="s">
        <v>327</v>
      </c>
      <c r="Z32" s="119">
        <v>4008695519</v>
      </c>
    </row>
    <row r="33" customHeight="1" spans="1:26">
      <c r="A33" s="118"/>
      <c r="B33" s="119"/>
      <c r="C33" s="127" t="s">
        <v>328</v>
      </c>
      <c r="D33" s="128" t="s">
        <v>328</v>
      </c>
      <c r="E33" s="133" t="s">
        <v>329</v>
      </c>
      <c r="F33" s="131" t="s">
        <v>330</v>
      </c>
      <c r="G33" s="133" t="s">
        <v>331</v>
      </c>
      <c r="H33" s="131" t="s">
        <v>34</v>
      </c>
      <c r="I33" s="122" t="s">
        <v>166</v>
      </c>
      <c r="J33" s="119" t="s">
        <v>36</v>
      </c>
      <c r="K33" s="123" t="s">
        <v>332</v>
      </c>
      <c r="L33" s="119" t="s">
        <v>37</v>
      </c>
      <c r="M33" s="122" t="s">
        <v>36</v>
      </c>
      <c r="N33" s="119" t="s">
        <v>134</v>
      </c>
      <c r="O33" s="122" t="s">
        <v>134</v>
      </c>
      <c r="P33" s="119" t="s">
        <v>37</v>
      </c>
      <c r="Q33" s="123">
        <v>0.75</v>
      </c>
      <c r="R33" s="119"/>
      <c r="S33" s="122"/>
      <c r="T33" s="119" t="s">
        <v>190</v>
      </c>
      <c r="U33" s="122"/>
      <c r="V33" s="119" t="s">
        <v>333</v>
      </c>
      <c r="W33" s="122" t="s">
        <v>334</v>
      </c>
      <c r="X33" s="119" t="s">
        <v>335</v>
      </c>
      <c r="Y33" s="122" t="s">
        <v>336</v>
      </c>
      <c r="Z33" s="119"/>
    </row>
    <row r="34" customHeight="1" spans="1:26">
      <c r="A34" s="118"/>
      <c r="B34" s="119" t="s">
        <v>337</v>
      </c>
      <c r="C34" s="127" t="s">
        <v>338</v>
      </c>
      <c r="D34" s="128" t="s">
        <v>339</v>
      </c>
      <c r="E34" s="133" t="s">
        <v>340</v>
      </c>
      <c r="F34" s="131" t="s">
        <v>341</v>
      </c>
      <c r="G34" s="133" t="s">
        <v>342</v>
      </c>
      <c r="H34" s="131" t="s">
        <v>34</v>
      </c>
      <c r="I34" s="122" t="s">
        <v>343</v>
      </c>
      <c r="J34" s="119" t="s">
        <v>36</v>
      </c>
      <c r="K34" s="123">
        <v>0.8</v>
      </c>
      <c r="L34" s="119" t="s">
        <v>37</v>
      </c>
      <c r="M34" s="122" t="s">
        <v>344</v>
      </c>
      <c r="N34" s="119" t="s">
        <v>294</v>
      </c>
      <c r="O34" s="122" t="s">
        <v>345</v>
      </c>
      <c r="P34" s="119" t="s">
        <v>37</v>
      </c>
      <c r="Q34" s="123" t="s">
        <v>346</v>
      </c>
      <c r="R34" s="119"/>
      <c r="S34" s="122" t="s">
        <v>87</v>
      </c>
      <c r="T34" s="119" t="s">
        <v>347</v>
      </c>
      <c r="U34" s="122"/>
      <c r="V34" s="119" t="s">
        <v>348</v>
      </c>
      <c r="W34" s="122" t="s">
        <v>349</v>
      </c>
      <c r="X34" s="119" t="s">
        <v>350</v>
      </c>
      <c r="Y34" s="122"/>
      <c r="Z34" s="119" t="s">
        <v>351</v>
      </c>
    </row>
    <row r="35" customHeight="1" spans="1:26">
      <c r="A35" s="118"/>
      <c r="B35" s="119" t="s">
        <v>352</v>
      </c>
      <c r="C35" s="127" t="s">
        <v>353</v>
      </c>
      <c r="D35" s="128" t="s">
        <v>353</v>
      </c>
      <c r="E35" s="133" t="s">
        <v>354</v>
      </c>
      <c r="F35" s="131" t="s">
        <v>82</v>
      </c>
      <c r="G35" s="133" t="s">
        <v>355</v>
      </c>
      <c r="H35" s="131" t="s">
        <v>34</v>
      </c>
      <c r="I35" s="122" t="s">
        <v>166</v>
      </c>
      <c r="J35" s="119" t="s">
        <v>36</v>
      </c>
      <c r="K35" s="122" t="s">
        <v>356</v>
      </c>
      <c r="L35" s="119" t="s">
        <v>37</v>
      </c>
      <c r="M35" s="122">
        <v>0</v>
      </c>
      <c r="N35" s="119" t="s">
        <v>38</v>
      </c>
      <c r="O35" s="122" t="s">
        <v>357</v>
      </c>
      <c r="P35" s="119" t="s">
        <v>37</v>
      </c>
      <c r="Q35" s="123">
        <v>0.8</v>
      </c>
      <c r="R35" s="119"/>
      <c r="S35" s="122" t="s">
        <v>87</v>
      </c>
      <c r="T35" s="119" t="s">
        <v>358</v>
      </c>
      <c r="U35" s="122"/>
      <c r="V35" s="119" t="s">
        <v>359</v>
      </c>
      <c r="W35" s="122" t="s">
        <v>360</v>
      </c>
      <c r="X35" s="119" t="s">
        <v>266</v>
      </c>
      <c r="Y35" s="122" t="s">
        <v>361</v>
      </c>
      <c r="Z35" s="119" t="s">
        <v>362</v>
      </c>
    </row>
    <row r="36" customHeight="1" spans="1:26">
      <c r="A36" s="118"/>
      <c r="B36" s="126" t="s">
        <v>363</v>
      </c>
      <c r="C36" s="127" t="s">
        <v>364</v>
      </c>
      <c r="D36" s="128" t="s">
        <v>364</v>
      </c>
      <c r="E36" s="133"/>
      <c r="F36" s="131" t="s">
        <v>365</v>
      </c>
      <c r="G36" s="133" t="s">
        <v>366</v>
      </c>
      <c r="H36" s="131" t="s">
        <v>34</v>
      </c>
      <c r="I36" s="122" t="s">
        <v>166</v>
      </c>
      <c r="J36" s="119" t="s">
        <v>36</v>
      </c>
      <c r="K36" s="123">
        <v>0.75</v>
      </c>
      <c r="L36" s="119" t="s">
        <v>367</v>
      </c>
      <c r="M36" s="122" t="s">
        <v>36</v>
      </c>
      <c r="N36" s="119" t="s">
        <v>38</v>
      </c>
      <c r="O36" s="122" t="s">
        <v>368</v>
      </c>
      <c r="P36" s="119" t="s">
        <v>367</v>
      </c>
      <c r="Q36" s="123">
        <v>0.75</v>
      </c>
      <c r="R36" s="119"/>
      <c r="S36" s="122" t="s">
        <v>87</v>
      </c>
      <c r="T36" s="119" t="s">
        <v>369</v>
      </c>
      <c r="U36" s="122"/>
      <c r="V36" s="119"/>
      <c r="W36" s="122" t="s">
        <v>370</v>
      </c>
      <c r="X36" s="119" t="s">
        <v>371</v>
      </c>
      <c r="Y36" s="122" t="s">
        <v>372</v>
      </c>
      <c r="Z36" s="119"/>
    </row>
    <row r="37" customHeight="1" spans="1:26">
      <c r="A37" s="118"/>
      <c r="B37" s="119" t="s">
        <v>373</v>
      </c>
      <c r="C37" s="127" t="s">
        <v>374</v>
      </c>
      <c r="D37" s="128" t="s">
        <v>375</v>
      </c>
      <c r="E37" s="121">
        <v>43963</v>
      </c>
      <c r="F37" s="135" t="s">
        <v>376</v>
      </c>
      <c r="G37" s="121" t="s">
        <v>377</v>
      </c>
      <c r="H37" s="131" t="s">
        <v>34</v>
      </c>
      <c r="I37" s="122" t="s">
        <v>84</v>
      </c>
      <c r="J37" s="119" t="s">
        <v>378</v>
      </c>
      <c r="K37" s="129">
        <v>1</v>
      </c>
      <c r="L37" s="119" t="s">
        <v>37</v>
      </c>
      <c r="M37" s="122"/>
      <c r="N37" s="119" t="s">
        <v>38</v>
      </c>
      <c r="O37" s="122" t="s">
        <v>368</v>
      </c>
      <c r="P37" s="119"/>
      <c r="Q37" s="122"/>
      <c r="R37" s="119"/>
      <c r="S37" s="122" t="s">
        <v>375</v>
      </c>
      <c r="T37" s="119" t="s">
        <v>207</v>
      </c>
      <c r="U37" s="122" t="s">
        <v>379</v>
      </c>
      <c r="V37" s="119"/>
      <c r="W37" s="122" t="s">
        <v>380</v>
      </c>
      <c r="X37" s="119"/>
      <c r="Y37" s="122"/>
      <c r="Z37" s="119"/>
    </row>
    <row r="38" customHeight="1" spans="1:26">
      <c r="A38" s="136" t="s">
        <v>381</v>
      </c>
      <c r="B38" s="130" t="s">
        <v>382</v>
      </c>
      <c r="C38" s="127" t="s">
        <v>383</v>
      </c>
      <c r="D38" s="128" t="s">
        <v>384</v>
      </c>
      <c r="E38" s="122" t="s">
        <v>103</v>
      </c>
      <c r="F38" s="131" t="s">
        <v>385</v>
      </c>
      <c r="G38" s="122" t="s">
        <v>386</v>
      </c>
      <c r="H38" s="119" t="s">
        <v>387</v>
      </c>
      <c r="I38" s="122" t="s">
        <v>388</v>
      </c>
      <c r="J38" s="119" t="s">
        <v>389</v>
      </c>
      <c r="K38" s="123">
        <v>0.8</v>
      </c>
      <c r="L38" s="119" t="s">
        <v>37</v>
      </c>
      <c r="M38" s="122" t="s">
        <v>389</v>
      </c>
      <c r="N38" s="119" t="s">
        <v>38</v>
      </c>
      <c r="O38" s="122" t="s">
        <v>390</v>
      </c>
      <c r="P38" s="119" t="s">
        <v>391</v>
      </c>
      <c r="Q38" s="123">
        <v>0.8</v>
      </c>
      <c r="R38" s="119" t="s">
        <v>134</v>
      </c>
      <c r="S38" s="122" t="s">
        <v>46</v>
      </c>
      <c r="T38" s="119" t="s">
        <v>136</v>
      </c>
      <c r="U38" s="122" t="s">
        <v>392</v>
      </c>
      <c r="V38" s="119" t="s">
        <v>393</v>
      </c>
      <c r="W38" s="122" t="s">
        <v>394</v>
      </c>
      <c r="X38" s="119" t="s">
        <v>395</v>
      </c>
      <c r="Y38" s="122" t="s">
        <v>396</v>
      </c>
      <c r="Z38" s="119" t="s">
        <v>300</v>
      </c>
    </row>
    <row r="39" customHeight="1" spans="1:26">
      <c r="A39" s="137"/>
      <c r="B39" s="119"/>
      <c r="C39" s="127" t="s">
        <v>397</v>
      </c>
      <c r="D39" s="128" t="s">
        <v>398</v>
      </c>
      <c r="E39" s="122">
        <v>2020</v>
      </c>
      <c r="F39" s="131" t="s">
        <v>82</v>
      </c>
      <c r="G39" s="122" t="s">
        <v>399</v>
      </c>
      <c r="H39" s="119"/>
      <c r="I39" s="122" t="s">
        <v>61</v>
      </c>
      <c r="J39" s="119"/>
      <c r="K39" s="123">
        <v>0.8</v>
      </c>
      <c r="L39" s="119" t="s">
        <v>400</v>
      </c>
      <c r="M39" s="122"/>
      <c r="N39" s="119" t="s">
        <v>401</v>
      </c>
      <c r="O39" s="122" t="s">
        <v>402</v>
      </c>
      <c r="P39" s="119"/>
      <c r="Q39" s="123"/>
      <c r="R39" s="119"/>
      <c r="S39" s="122" t="s">
        <v>403</v>
      </c>
      <c r="T39" s="119" t="s">
        <v>404</v>
      </c>
      <c r="U39" s="122" t="s">
        <v>405</v>
      </c>
      <c r="V39" s="119"/>
      <c r="W39" s="122" t="s">
        <v>406</v>
      </c>
      <c r="X39" s="119"/>
      <c r="Y39" s="122" t="s">
        <v>407</v>
      </c>
      <c r="Z39" s="119"/>
    </row>
    <row r="40" customHeight="1" spans="1:26">
      <c r="A40" s="137"/>
      <c r="B40" s="119" t="s">
        <v>408</v>
      </c>
      <c r="C40" s="127" t="s">
        <v>409</v>
      </c>
      <c r="D40" s="128" t="s">
        <v>409</v>
      </c>
      <c r="E40" s="122">
        <v>2021</v>
      </c>
      <c r="F40" s="131" t="s">
        <v>82</v>
      </c>
      <c r="G40" s="122" t="s">
        <v>410</v>
      </c>
      <c r="H40" s="119" t="s">
        <v>34</v>
      </c>
      <c r="I40" s="122" t="s">
        <v>388</v>
      </c>
      <c r="J40" s="119" t="s">
        <v>36</v>
      </c>
      <c r="K40" s="123">
        <v>0.75</v>
      </c>
      <c r="L40" s="119" t="s">
        <v>367</v>
      </c>
      <c r="M40" s="122">
        <v>0</v>
      </c>
      <c r="N40" s="119" t="s">
        <v>85</v>
      </c>
      <c r="O40" s="122" t="s">
        <v>411</v>
      </c>
      <c r="P40" s="119" t="s">
        <v>367</v>
      </c>
      <c r="Q40" s="123">
        <v>0.75</v>
      </c>
      <c r="R40" s="119"/>
      <c r="S40" s="122" t="s">
        <v>40</v>
      </c>
      <c r="T40" s="119" t="s">
        <v>207</v>
      </c>
      <c r="U40" s="122"/>
      <c r="V40" s="119" t="s">
        <v>412</v>
      </c>
      <c r="W40" s="122" t="s">
        <v>413</v>
      </c>
      <c r="X40" s="119" t="s">
        <v>414</v>
      </c>
      <c r="Y40" s="122" t="s">
        <v>415</v>
      </c>
      <c r="Z40" s="119" t="s">
        <v>416</v>
      </c>
    </row>
    <row r="41" customHeight="1" spans="1:26">
      <c r="A41" s="137"/>
      <c r="B41" s="119" t="s">
        <v>417</v>
      </c>
      <c r="C41" s="127" t="s">
        <v>418</v>
      </c>
      <c r="D41" s="128" t="s">
        <v>419</v>
      </c>
      <c r="E41" s="122" t="s">
        <v>420</v>
      </c>
      <c r="F41" s="119" t="s">
        <v>421</v>
      </c>
      <c r="G41" s="122" t="s">
        <v>376</v>
      </c>
      <c r="H41" s="119" t="s">
        <v>34</v>
      </c>
      <c r="I41" s="122" t="s">
        <v>61</v>
      </c>
      <c r="J41" s="119" t="s">
        <v>422</v>
      </c>
      <c r="K41" s="123">
        <v>0.7</v>
      </c>
      <c r="L41" s="119" t="s">
        <v>423</v>
      </c>
      <c r="M41" s="122"/>
      <c r="N41" s="119" t="s">
        <v>424</v>
      </c>
      <c r="O41" s="122" t="s">
        <v>425</v>
      </c>
      <c r="P41" s="119" t="s">
        <v>426</v>
      </c>
      <c r="Q41" s="123">
        <v>0.7</v>
      </c>
      <c r="R41" s="119" t="s">
        <v>134</v>
      </c>
      <c r="S41" s="122" t="s">
        <v>427</v>
      </c>
      <c r="T41" s="119" t="s">
        <v>428</v>
      </c>
      <c r="U41" s="122" t="s">
        <v>429</v>
      </c>
      <c r="V41" s="119"/>
      <c r="W41" s="122" t="s">
        <v>430</v>
      </c>
      <c r="X41" s="119" t="s">
        <v>395</v>
      </c>
      <c r="Y41" s="122"/>
      <c r="Z41" s="119"/>
    </row>
    <row r="42" customHeight="1" spans="1:26">
      <c r="A42" s="137"/>
      <c r="B42" s="119"/>
      <c r="C42" s="127" t="s">
        <v>431</v>
      </c>
      <c r="D42" s="128"/>
      <c r="E42" s="122" t="s">
        <v>103</v>
      </c>
      <c r="F42" s="119"/>
      <c r="G42" s="122"/>
      <c r="H42" s="119" t="s">
        <v>34</v>
      </c>
      <c r="I42" s="122" t="s">
        <v>432</v>
      </c>
      <c r="J42" s="119" t="s">
        <v>422</v>
      </c>
      <c r="K42" s="123">
        <v>1</v>
      </c>
      <c r="L42" s="119" t="s">
        <v>433</v>
      </c>
      <c r="M42" s="122" t="s">
        <v>422</v>
      </c>
      <c r="N42" s="119" t="s">
        <v>434</v>
      </c>
      <c r="O42" s="122" t="s">
        <v>368</v>
      </c>
      <c r="P42" s="119" t="s">
        <v>433</v>
      </c>
      <c r="Q42" s="123">
        <v>1</v>
      </c>
      <c r="R42" s="119"/>
      <c r="S42" s="122" t="s">
        <v>435</v>
      </c>
      <c r="T42" s="119" t="s">
        <v>436</v>
      </c>
      <c r="U42" s="122"/>
      <c r="V42" s="119" t="s">
        <v>437</v>
      </c>
      <c r="W42" s="122" t="s">
        <v>438</v>
      </c>
      <c r="X42" s="119" t="s">
        <v>395</v>
      </c>
      <c r="Y42" s="122"/>
      <c r="Z42" s="119"/>
    </row>
    <row r="43" customHeight="1" spans="1:26">
      <c r="A43" s="137"/>
      <c r="B43" s="119" t="s">
        <v>439</v>
      </c>
      <c r="C43" s="127" t="s">
        <v>440</v>
      </c>
      <c r="D43" s="128" t="s">
        <v>440</v>
      </c>
      <c r="E43" s="133">
        <v>43831</v>
      </c>
      <c r="F43" s="131" t="s">
        <v>130</v>
      </c>
      <c r="G43" s="122" t="s">
        <v>441</v>
      </c>
      <c r="H43" s="131" t="s">
        <v>34</v>
      </c>
      <c r="I43" s="122" t="s">
        <v>61</v>
      </c>
      <c r="J43" s="119" t="s">
        <v>36</v>
      </c>
      <c r="K43" s="123">
        <v>0.8</v>
      </c>
      <c r="L43" s="119" t="s">
        <v>37</v>
      </c>
      <c r="M43" s="122" t="s">
        <v>442</v>
      </c>
      <c r="N43" s="119" t="s">
        <v>38</v>
      </c>
      <c r="O43" s="122" t="s">
        <v>443</v>
      </c>
      <c r="P43" s="119" t="s">
        <v>444</v>
      </c>
      <c r="Q43" s="123" t="s">
        <v>445</v>
      </c>
      <c r="R43" s="119" t="s">
        <v>446</v>
      </c>
      <c r="S43" s="122" t="s">
        <v>447</v>
      </c>
      <c r="T43" s="119" t="s">
        <v>448</v>
      </c>
      <c r="U43" s="122" t="s">
        <v>449</v>
      </c>
      <c r="V43" s="119" t="s">
        <v>450</v>
      </c>
      <c r="W43" s="122" t="s">
        <v>451</v>
      </c>
      <c r="X43" s="119" t="s">
        <v>395</v>
      </c>
      <c r="Y43" s="122" t="s">
        <v>452</v>
      </c>
      <c r="Z43" s="119" t="s">
        <v>453</v>
      </c>
    </row>
    <row r="44" customHeight="1" spans="1:26">
      <c r="A44" s="137"/>
      <c r="B44" s="119" t="s">
        <v>454</v>
      </c>
      <c r="C44" s="127" t="s">
        <v>455</v>
      </c>
      <c r="D44" s="119" t="s">
        <v>456</v>
      </c>
      <c r="E44" s="133">
        <v>43466</v>
      </c>
      <c r="F44" s="131" t="s">
        <v>130</v>
      </c>
      <c r="G44" s="133" t="s">
        <v>457</v>
      </c>
      <c r="H44" s="131" t="s">
        <v>34</v>
      </c>
      <c r="I44" s="122" t="s">
        <v>61</v>
      </c>
      <c r="J44" s="119" t="s">
        <v>107</v>
      </c>
      <c r="K44" s="123" t="s">
        <v>458</v>
      </c>
      <c r="L44" s="119" t="s">
        <v>37</v>
      </c>
      <c r="M44" s="122" t="s">
        <v>422</v>
      </c>
      <c r="N44" s="119" t="s">
        <v>38</v>
      </c>
      <c r="O44" s="122" t="s">
        <v>459</v>
      </c>
      <c r="P44" s="119" t="s">
        <v>460</v>
      </c>
      <c r="Q44" s="123">
        <v>0.9</v>
      </c>
      <c r="R44" s="119"/>
      <c r="S44" s="122" t="s">
        <v>461</v>
      </c>
      <c r="T44" s="119" t="s">
        <v>462</v>
      </c>
      <c r="U44" s="122" t="s">
        <v>463</v>
      </c>
      <c r="V44" s="119" t="s">
        <v>464</v>
      </c>
      <c r="W44" s="122" t="s">
        <v>465</v>
      </c>
      <c r="X44" s="119"/>
      <c r="Y44" s="122" t="s">
        <v>466</v>
      </c>
      <c r="Z44" s="119"/>
    </row>
    <row r="45" customHeight="1" spans="1:26">
      <c r="A45" s="137"/>
      <c r="B45" s="119" t="s">
        <v>467</v>
      </c>
      <c r="C45" s="127" t="s">
        <v>468</v>
      </c>
      <c r="D45" s="128" t="s">
        <v>384</v>
      </c>
      <c r="E45" s="133">
        <v>43831</v>
      </c>
      <c r="F45" s="131" t="s">
        <v>385</v>
      </c>
      <c r="G45" s="133" t="s">
        <v>469</v>
      </c>
      <c r="H45" s="131" t="s">
        <v>387</v>
      </c>
      <c r="I45" s="122" t="s">
        <v>388</v>
      </c>
      <c r="J45" s="119" t="s">
        <v>36</v>
      </c>
      <c r="K45" s="123">
        <v>0.8</v>
      </c>
      <c r="L45" s="119" t="s">
        <v>37</v>
      </c>
      <c r="M45" s="122" t="s">
        <v>389</v>
      </c>
      <c r="N45" s="119" t="s">
        <v>38</v>
      </c>
      <c r="O45" s="122" t="s">
        <v>470</v>
      </c>
      <c r="P45" s="119" t="s">
        <v>215</v>
      </c>
      <c r="Q45" s="123">
        <v>0.8</v>
      </c>
      <c r="R45" s="119"/>
      <c r="S45" s="122" t="s">
        <v>87</v>
      </c>
      <c r="T45" s="119" t="s">
        <v>136</v>
      </c>
      <c r="U45" s="122"/>
      <c r="V45" s="119" t="s">
        <v>471</v>
      </c>
      <c r="W45" s="122" t="s">
        <v>472</v>
      </c>
      <c r="X45" s="119" t="s">
        <v>299</v>
      </c>
      <c r="Y45" s="122"/>
      <c r="Z45" s="119" t="s">
        <v>473</v>
      </c>
    </row>
    <row r="46" customHeight="1" spans="1:26">
      <c r="A46" s="137"/>
      <c r="B46" s="119" t="s">
        <v>474</v>
      </c>
      <c r="C46" s="127" t="s">
        <v>475</v>
      </c>
      <c r="D46" s="128" t="s">
        <v>475</v>
      </c>
      <c r="E46" s="133">
        <v>44064</v>
      </c>
      <c r="F46" s="131" t="s">
        <v>155</v>
      </c>
      <c r="G46" s="133" t="s">
        <v>476</v>
      </c>
      <c r="H46" s="131"/>
      <c r="I46" s="122" t="s">
        <v>477</v>
      </c>
      <c r="J46" s="119" t="s">
        <v>36</v>
      </c>
      <c r="K46" s="129" t="s">
        <v>478</v>
      </c>
      <c r="L46" s="119" t="s">
        <v>367</v>
      </c>
      <c r="M46" s="122">
        <v>0</v>
      </c>
      <c r="N46" s="119" t="s">
        <v>85</v>
      </c>
      <c r="O46" s="122" t="s">
        <v>479</v>
      </c>
      <c r="P46" s="119" t="s">
        <v>367</v>
      </c>
      <c r="Q46" s="129" t="s">
        <v>478</v>
      </c>
      <c r="R46" s="119"/>
      <c r="S46" s="122" t="s">
        <v>87</v>
      </c>
      <c r="T46" s="119" t="s">
        <v>190</v>
      </c>
      <c r="U46" s="122"/>
      <c r="V46" s="119" t="s">
        <v>480</v>
      </c>
      <c r="W46" s="122" t="s">
        <v>481</v>
      </c>
      <c r="X46" s="119" t="s">
        <v>482</v>
      </c>
      <c r="Y46" s="122" t="s">
        <v>483</v>
      </c>
      <c r="Z46" s="119" t="s">
        <v>484</v>
      </c>
    </row>
    <row r="47" customHeight="1" spans="1:26">
      <c r="A47" s="137"/>
      <c r="B47" s="119"/>
      <c r="C47" s="138" t="s">
        <v>485</v>
      </c>
      <c r="D47" s="128" t="s">
        <v>485</v>
      </c>
      <c r="E47" s="133" t="s">
        <v>486</v>
      </c>
      <c r="F47" s="131" t="s">
        <v>487</v>
      </c>
      <c r="G47" s="133" t="s">
        <v>488</v>
      </c>
      <c r="H47" s="131"/>
      <c r="I47" s="122" t="s">
        <v>489</v>
      </c>
      <c r="J47" s="119" t="s">
        <v>490</v>
      </c>
      <c r="K47" s="129">
        <v>0.8</v>
      </c>
      <c r="L47" s="119" t="s">
        <v>37</v>
      </c>
      <c r="M47" s="122" t="s">
        <v>490</v>
      </c>
      <c r="N47" s="119"/>
      <c r="O47" s="122"/>
      <c r="P47" s="119"/>
      <c r="Q47" s="129">
        <v>0.5</v>
      </c>
      <c r="R47" s="119"/>
      <c r="S47" s="122" t="s">
        <v>491</v>
      </c>
      <c r="T47" s="119" t="s">
        <v>492</v>
      </c>
      <c r="U47" s="122"/>
      <c r="V47" s="119" t="s">
        <v>493</v>
      </c>
      <c r="W47" s="122" t="s">
        <v>494</v>
      </c>
      <c r="X47" s="119"/>
      <c r="Y47" s="122"/>
      <c r="Z47" s="119"/>
    </row>
    <row r="48" customHeight="1" spans="1:26">
      <c r="A48" s="137"/>
      <c r="B48" s="119" t="s">
        <v>495</v>
      </c>
      <c r="C48" s="127" t="s">
        <v>496</v>
      </c>
      <c r="D48" s="128" t="s">
        <v>496</v>
      </c>
      <c r="E48" s="133" t="s">
        <v>497</v>
      </c>
      <c r="F48" s="131" t="s">
        <v>104</v>
      </c>
      <c r="G48" s="133" t="s">
        <v>498</v>
      </c>
      <c r="H48" s="131" t="s">
        <v>34</v>
      </c>
      <c r="I48" s="122" t="s">
        <v>499</v>
      </c>
      <c r="J48" s="119" t="s">
        <v>36</v>
      </c>
      <c r="K48" s="129">
        <v>0.75</v>
      </c>
      <c r="L48" s="119" t="s">
        <v>367</v>
      </c>
      <c r="M48" s="122">
        <v>0</v>
      </c>
      <c r="N48" s="119" t="s">
        <v>294</v>
      </c>
      <c r="O48" s="122"/>
      <c r="P48" s="119" t="s">
        <v>367</v>
      </c>
      <c r="Q48" s="129">
        <v>0.75</v>
      </c>
      <c r="R48" s="119"/>
      <c r="S48" s="122" t="s">
        <v>500</v>
      </c>
      <c r="T48" s="119" t="s">
        <v>207</v>
      </c>
      <c r="U48" s="122" t="s">
        <v>501</v>
      </c>
      <c r="V48" s="119" t="s">
        <v>502</v>
      </c>
      <c r="W48" s="122" t="s">
        <v>503</v>
      </c>
      <c r="X48" s="119" t="s">
        <v>504</v>
      </c>
      <c r="Y48" s="122" t="s">
        <v>505</v>
      </c>
      <c r="Z48" s="119" t="s">
        <v>506</v>
      </c>
    </row>
    <row r="49" customHeight="1" spans="1:26">
      <c r="A49" s="137"/>
      <c r="B49" s="119" t="s">
        <v>507</v>
      </c>
      <c r="C49" s="127" t="s">
        <v>508</v>
      </c>
      <c r="D49" s="128" t="s">
        <v>508</v>
      </c>
      <c r="E49" s="133" t="s">
        <v>509</v>
      </c>
      <c r="F49" s="131" t="s">
        <v>82</v>
      </c>
      <c r="G49" s="133" t="s">
        <v>510</v>
      </c>
      <c r="H49" s="131" t="s">
        <v>34</v>
      </c>
      <c r="I49" s="122" t="s">
        <v>499</v>
      </c>
      <c r="J49" s="119" t="s">
        <v>36</v>
      </c>
      <c r="K49" s="129">
        <v>0.8</v>
      </c>
      <c r="L49" s="119" t="s">
        <v>367</v>
      </c>
      <c r="M49" s="122">
        <v>0</v>
      </c>
      <c r="N49" s="119" t="s">
        <v>85</v>
      </c>
      <c r="O49" s="122" t="s">
        <v>511</v>
      </c>
      <c r="P49" s="119" t="s">
        <v>367</v>
      </c>
      <c r="Q49" s="129">
        <v>0.8</v>
      </c>
      <c r="R49" s="119"/>
      <c r="S49" s="122" t="s">
        <v>512</v>
      </c>
      <c r="T49" s="119" t="s">
        <v>207</v>
      </c>
      <c r="U49" s="122" t="s">
        <v>405</v>
      </c>
      <c r="V49" s="119" t="s">
        <v>513</v>
      </c>
      <c r="W49" s="122" t="s">
        <v>514</v>
      </c>
      <c r="X49" s="119" t="s">
        <v>515</v>
      </c>
      <c r="Y49" s="122" t="s">
        <v>516</v>
      </c>
      <c r="Z49" s="119" t="s">
        <v>517</v>
      </c>
    </row>
    <row r="50" customHeight="1" spans="1:26">
      <c r="A50" s="137"/>
      <c r="B50" s="119" t="s">
        <v>518</v>
      </c>
      <c r="C50" s="139" t="s">
        <v>519</v>
      </c>
      <c r="D50" s="128" t="s">
        <v>519</v>
      </c>
      <c r="E50" s="133" t="s">
        <v>520</v>
      </c>
      <c r="F50" s="131" t="s">
        <v>521</v>
      </c>
      <c r="G50" s="133" t="s">
        <v>522</v>
      </c>
      <c r="H50" s="131" t="s">
        <v>34</v>
      </c>
      <c r="I50" s="122" t="s">
        <v>499</v>
      </c>
      <c r="J50" s="119" t="s">
        <v>36</v>
      </c>
      <c r="K50" s="129">
        <v>0.8</v>
      </c>
      <c r="L50" s="119" t="s">
        <v>367</v>
      </c>
      <c r="M50" s="122">
        <v>0</v>
      </c>
      <c r="N50" s="119" t="s">
        <v>85</v>
      </c>
      <c r="O50" s="122" t="s">
        <v>523</v>
      </c>
      <c r="P50" s="119" t="s">
        <v>367</v>
      </c>
      <c r="Q50" s="129">
        <v>0.8</v>
      </c>
      <c r="R50" s="119"/>
      <c r="S50" s="122" t="s">
        <v>87</v>
      </c>
      <c r="T50" s="119" t="s">
        <v>207</v>
      </c>
      <c r="U50" s="122" t="s">
        <v>524</v>
      </c>
      <c r="V50" s="119" t="s">
        <v>513</v>
      </c>
      <c r="W50" s="122" t="s">
        <v>370</v>
      </c>
      <c r="X50" s="119"/>
      <c r="Y50" s="122" t="s">
        <v>525</v>
      </c>
      <c r="Z50" s="119" t="s">
        <v>526</v>
      </c>
    </row>
    <row r="51" customHeight="1" spans="1:26">
      <c r="A51" s="137"/>
      <c r="B51" s="119" t="s">
        <v>527</v>
      </c>
      <c r="C51" s="127" t="s">
        <v>528</v>
      </c>
      <c r="D51" s="128" t="s">
        <v>528</v>
      </c>
      <c r="E51" s="133">
        <v>44083</v>
      </c>
      <c r="F51" s="131" t="s">
        <v>310</v>
      </c>
      <c r="G51" s="133" t="s">
        <v>529</v>
      </c>
      <c r="H51" s="131"/>
      <c r="I51" s="122" t="s">
        <v>61</v>
      </c>
      <c r="J51" s="119" t="s">
        <v>36</v>
      </c>
      <c r="K51" s="129">
        <v>0.75</v>
      </c>
      <c r="L51" s="119" t="s">
        <v>367</v>
      </c>
      <c r="M51" s="122">
        <v>0</v>
      </c>
      <c r="N51" s="119" t="s">
        <v>85</v>
      </c>
      <c r="O51" s="122" t="s">
        <v>530</v>
      </c>
      <c r="P51" s="119" t="s">
        <v>367</v>
      </c>
      <c r="Q51" s="129">
        <v>0.75</v>
      </c>
      <c r="R51" s="119"/>
      <c r="S51" s="122" t="s">
        <v>87</v>
      </c>
      <c r="T51" s="119" t="s">
        <v>207</v>
      </c>
      <c r="U51" s="122"/>
      <c r="V51" s="119" t="s">
        <v>531</v>
      </c>
      <c r="W51" s="122" t="s">
        <v>532</v>
      </c>
      <c r="X51" s="119" t="s">
        <v>482</v>
      </c>
      <c r="Y51" s="122" t="s">
        <v>533</v>
      </c>
      <c r="Z51" s="119" t="s">
        <v>534</v>
      </c>
    </row>
    <row r="52" customHeight="1" spans="1:26">
      <c r="A52" s="137"/>
      <c r="B52" s="119" t="s">
        <v>535</v>
      </c>
      <c r="C52" s="127" t="s">
        <v>536</v>
      </c>
      <c r="D52" s="128" t="s">
        <v>536</v>
      </c>
      <c r="E52" s="133" t="s">
        <v>537</v>
      </c>
      <c r="F52" s="131" t="s">
        <v>521</v>
      </c>
      <c r="G52" s="133" t="s">
        <v>538</v>
      </c>
      <c r="H52" s="131" t="s">
        <v>34</v>
      </c>
      <c r="I52" s="122" t="s">
        <v>499</v>
      </c>
      <c r="J52" s="119" t="s">
        <v>36</v>
      </c>
      <c r="K52" s="129">
        <v>0.75</v>
      </c>
      <c r="L52" s="119" t="s">
        <v>367</v>
      </c>
      <c r="M52" s="122">
        <v>0</v>
      </c>
      <c r="N52" s="119" t="s">
        <v>85</v>
      </c>
      <c r="O52" s="122" t="s">
        <v>539</v>
      </c>
      <c r="P52" s="119" t="s">
        <v>367</v>
      </c>
      <c r="Q52" s="129">
        <v>0.75</v>
      </c>
      <c r="R52" s="119"/>
      <c r="S52" s="122" t="s">
        <v>87</v>
      </c>
      <c r="T52" s="119" t="s">
        <v>540</v>
      </c>
      <c r="U52" s="122"/>
      <c r="V52" s="119" t="s">
        <v>541</v>
      </c>
      <c r="W52" s="122" t="s">
        <v>542</v>
      </c>
      <c r="X52" s="119" t="s">
        <v>543</v>
      </c>
      <c r="Y52" s="122" t="s">
        <v>544</v>
      </c>
      <c r="Z52" s="119" t="s">
        <v>545</v>
      </c>
    </row>
    <row r="53" customHeight="1" spans="1:26">
      <c r="A53" s="140"/>
      <c r="B53" s="119" t="s">
        <v>535</v>
      </c>
      <c r="C53" s="127" t="s">
        <v>536</v>
      </c>
      <c r="D53" s="128" t="s">
        <v>536</v>
      </c>
      <c r="E53" s="133" t="s">
        <v>103</v>
      </c>
      <c r="F53" s="131" t="s">
        <v>521</v>
      </c>
      <c r="G53" s="133" t="s">
        <v>546</v>
      </c>
      <c r="H53" s="131" t="s">
        <v>34</v>
      </c>
      <c r="I53" s="122" t="s">
        <v>547</v>
      </c>
      <c r="J53" s="119" t="s">
        <v>36</v>
      </c>
      <c r="K53" s="129">
        <v>0.75</v>
      </c>
      <c r="L53" s="119" t="s">
        <v>367</v>
      </c>
      <c r="M53" s="122">
        <v>0</v>
      </c>
      <c r="N53" s="119" t="s">
        <v>85</v>
      </c>
      <c r="O53" s="122" t="s">
        <v>548</v>
      </c>
      <c r="P53" s="119"/>
      <c r="Q53" s="129">
        <v>0.75</v>
      </c>
      <c r="R53" s="119"/>
      <c r="S53" s="122" t="s">
        <v>87</v>
      </c>
      <c r="T53" s="119" t="s">
        <v>540</v>
      </c>
      <c r="U53" s="122"/>
      <c r="V53" s="119" t="s">
        <v>549</v>
      </c>
      <c r="W53" s="122" t="s">
        <v>550</v>
      </c>
      <c r="X53" s="119" t="s">
        <v>414</v>
      </c>
      <c r="Y53" s="122" t="s">
        <v>551</v>
      </c>
      <c r="Z53" s="119"/>
    </row>
    <row r="54" customHeight="1" spans="1:26">
      <c r="A54" s="140" t="s">
        <v>552</v>
      </c>
      <c r="B54" s="126" t="s">
        <v>552</v>
      </c>
      <c r="C54" s="127" t="s">
        <v>553</v>
      </c>
      <c r="D54" s="128" t="s">
        <v>553</v>
      </c>
      <c r="E54" s="122" t="s">
        <v>103</v>
      </c>
      <c r="F54" s="119" t="s">
        <v>82</v>
      </c>
      <c r="G54" s="122" t="s">
        <v>554</v>
      </c>
      <c r="H54" s="119" t="s">
        <v>34</v>
      </c>
      <c r="I54" s="122" t="s">
        <v>555</v>
      </c>
      <c r="J54" s="119" t="s">
        <v>36</v>
      </c>
      <c r="K54" s="129">
        <v>0.8</v>
      </c>
      <c r="L54" s="119" t="s">
        <v>37</v>
      </c>
      <c r="M54" s="122" t="s">
        <v>36</v>
      </c>
      <c r="N54" s="119" t="s">
        <v>38</v>
      </c>
      <c r="O54" s="122" t="s">
        <v>556</v>
      </c>
      <c r="P54" s="119" t="s">
        <v>37</v>
      </c>
      <c r="Q54" s="129">
        <v>0.8</v>
      </c>
      <c r="R54" s="119"/>
      <c r="S54" s="122" t="s">
        <v>87</v>
      </c>
      <c r="T54" s="119" t="s">
        <v>190</v>
      </c>
      <c r="U54" s="122"/>
      <c r="V54" s="119" t="s">
        <v>557</v>
      </c>
      <c r="W54" s="122" t="s">
        <v>558</v>
      </c>
      <c r="X54" s="119" t="s">
        <v>255</v>
      </c>
      <c r="Y54" s="122" t="s">
        <v>559</v>
      </c>
      <c r="Z54" s="119" t="s">
        <v>560</v>
      </c>
    </row>
    <row r="55" customHeight="1" spans="1:26">
      <c r="A55" s="136" t="s">
        <v>561</v>
      </c>
      <c r="B55" s="130" t="s">
        <v>562</v>
      </c>
      <c r="C55" s="127" t="s">
        <v>563</v>
      </c>
      <c r="D55" s="128" t="s">
        <v>563</v>
      </c>
      <c r="E55" s="133">
        <v>43952</v>
      </c>
      <c r="F55" s="141" t="s">
        <v>376</v>
      </c>
      <c r="G55" s="133" t="s">
        <v>564</v>
      </c>
      <c r="H55" s="131" t="s">
        <v>387</v>
      </c>
      <c r="I55" s="122" t="s">
        <v>61</v>
      </c>
      <c r="J55" s="119" t="s">
        <v>36</v>
      </c>
      <c r="K55" s="123">
        <v>0.75</v>
      </c>
      <c r="L55" s="119" t="s">
        <v>37</v>
      </c>
      <c r="M55" s="122" t="s">
        <v>213</v>
      </c>
      <c r="N55" s="119" t="s">
        <v>226</v>
      </c>
      <c r="O55" s="122" t="s">
        <v>565</v>
      </c>
      <c r="P55" s="119" t="s">
        <v>215</v>
      </c>
      <c r="Q55" s="123">
        <v>0.75</v>
      </c>
      <c r="R55" s="119"/>
      <c r="S55" s="122" t="s">
        <v>87</v>
      </c>
      <c r="T55" s="119" t="s">
        <v>207</v>
      </c>
      <c r="U55" s="122" t="s">
        <v>566</v>
      </c>
      <c r="V55" s="119" t="s">
        <v>567</v>
      </c>
      <c r="W55" s="122" t="s">
        <v>568</v>
      </c>
      <c r="X55" s="119" t="s">
        <v>299</v>
      </c>
      <c r="Y55" s="122" t="s">
        <v>569</v>
      </c>
      <c r="Z55" s="119"/>
    </row>
    <row r="56" customHeight="1" spans="1:26">
      <c r="A56" s="137"/>
      <c r="B56" s="130" t="s">
        <v>562</v>
      </c>
      <c r="C56" s="134" t="s">
        <v>570</v>
      </c>
      <c r="D56" s="119" t="s">
        <v>570</v>
      </c>
      <c r="E56" s="121" t="s">
        <v>571</v>
      </c>
      <c r="F56" s="132" t="s">
        <v>376</v>
      </c>
      <c r="G56" s="122" t="s">
        <v>572</v>
      </c>
      <c r="H56" s="119" t="s">
        <v>34</v>
      </c>
      <c r="I56" s="122"/>
      <c r="J56" s="119" t="s">
        <v>573</v>
      </c>
      <c r="K56" s="129">
        <v>0.75</v>
      </c>
      <c r="L56" s="119" t="s">
        <v>37</v>
      </c>
      <c r="M56" s="122" t="s">
        <v>573</v>
      </c>
      <c r="N56" s="119" t="s">
        <v>85</v>
      </c>
      <c r="O56" s="122" t="s">
        <v>574</v>
      </c>
      <c r="P56" s="142" t="s">
        <v>215</v>
      </c>
      <c r="Q56" s="129">
        <v>0.75</v>
      </c>
      <c r="R56" s="119" t="s">
        <v>575</v>
      </c>
      <c r="S56" s="122" t="s">
        <v>87</v>
      </c>
      <c r="T56" s="119" t="s">
        <v>207</v>
      </c>
      <c r="U56" s="122"/>
      <c r="V56" s="119"/>
      <c r="W56" s="122" t="s">
        <v>576</v>
      </c>
      <c r="X56" s="119" t="s">
        <v>577</v>
      </c>
      <c r="Y56" s="122" t="s">
        <v>578</v>
      </c>
      <c r="Z56" s="119"/>
    </row>
    <row r="57" customHeight="1" spans="1:26">
      <c r="A57" s="137"/>
      <c r="B57" s="119" t="s">
        <v>579</v>
      </c>
      <c r="C57" s="127" t="s">
        <v>580</v>
      </c>
      <c r="D57" s="128" t="s">
        <v>580</v>
      </c>
      <c r="E57" s="121">
        <v>44075</v>
      </c>
      <c r="F57" s="131" t="s">
        <v>310</v>
      </c>
      <c r="G57" s="133" t="s">
        <v>581</v>
      </c>
      <c r="H57" s="131"/>
      <c r="I57" s="122" t="s">
        <v>84</v>
      </c>
      <c r="J57" s="119" t="s">
        <v>213</v>
      </c>
      <c r="K57" s="123">
        <v>0.7</v>
      </c>
      <c r="L57" s="119" t="s">
        <v>215</v>
      </c>
      <c r="M57" s="122" t="s">
        <v>213</v>
      </c>
      <c r="N57" s="119" t="s">
        <v>38</v>
      </c>
      <c r="O57" s="122" t="s">
        <v>582</v>
      </c>
      <c r="P57" s="119" t="s">
        <v>215</v>
      </c>
      <c r="Q57" s="123">
        <v>0.7</v>
      </c>
      <c r="R57" s="119"/>
      <c r="S57" s="122" t="s">
        <v>87</v>
      </c>
      <c r="T57" s="119" t="s">
        <v>207</v>
      </c>
      <c r="U57" s="122"/>
      <c r="V57" s="119" t="s">
        <v>583</v>
      </c>
      <c r="W57" s="122" t="s">
        <v>584</v>
      </c>
      <c r="X57" s="119" t="s">
        <v>585</v>
      </c>
      <c r="Y57" s="122" t="s">
        <v>586</v>
      </c>
      <c r="Z57" s="119" t="s">
        <v>587</v>
      </c>
    </row>
    <row r="58" customHeight="1" spans="1:26">
      <c r="A58" s="137"/>
      <c r="B58" s="119" t="s">
        <v>588</v>
      </c>
      <c r="C58" s="143" t="s">
        <v>589</v>
      </c>
      <c r="D58" s="128" t="s">
        <v>589</v>
      </c>
      <c r="E58" s="122">
        <v>2021</v>
      </c>
      <c r="F58" s="119" t="s">
        <v>590</v>
      </c>
      <c r="G58" s="122" t="s">
        <v>591</v>
      </c>
      <c r="H58" s="119" t="s">
        <v>34</v>
      </c>
      <c r="I58" s="122"/>
      <c r="J58" s="119" t="s">
        <v>36</v>
      </c>
      <c r="K58" s="129">
        <v>0.75</v>
      </c>
      <c r="L58" s="119" t="s">
        <v>37</v>
      </c>
      <c r="M58" s="122" t="s">
        <v>36</v>
      </c>
      <c r="N58" s="119"/>
      <c r="O58" s="122"/>
      <c r="P58" s="119"/>
      <c r="Q58" s="129"/>
      <c r="R58" s="119"/>
      <c r="S58" s="122"/>
      <c r="T58" s="119"/>
      <c r="U58" s="122"/>
      <c r="V58" s="119"/>
      <c r="W58" s="122" t="s">
        <v>592</v>
      </c>
      <c r="X58" s="119"/>
      <c r="Y58" s="122" t="s">
        <v>593</v>
      </c>
      <c r="Z58" s="119" t="s">
        <v>594</v>
      </c>
    </row>
    <row r="59" customHeight="1" spans="1:26">
      <c r="A59" s="137"/>
      <c r="B59" s="119" t="s">
        <v>595</v>
      </c>
      <c r="C59" s="127" t="s">
        <v>384</v>
      </c>
      <c r="D59" s="128" t="s">
        <v>596</v>
      </c>
      <c r="E59" s="122" t="s">
        <v>103</v>
      </c>
      <c r="F59" s="119" t="s">
        <v>597</v>
      </c>
      <c r="G59" s="122" t="s">
        <v>598</v>
      </c>
      <c r="H59" s="119"/>
      <c r="I59" s="122" t="s">
        <v>343</v>
      </c>
      <c r="J59" s="119" t="s">
        <v>213</v>
      </c>
      <c r="K59" s="129">
        <v>1</v>
      </c>
      <c r="L59" s="119" t="s">
        <v>215</v>
      </c>
      <c r="M59" s="122"/>
      <c r="N59" s="119" t="s">
        <v>134</v>
      </c>
      <c r="O59" s="122"/>
      <c r="P59" s="119"/>
      <c r="Q59" s="122"/>
      <c r="R59" s="119"/>
      <c r="S59" s="122" t="s">
        <v>87</v>
      </c>
      <c r="T59" s="119" t="s">
        <v>599</v>
      </c>
      <c r="U59" s="122"/>
      <c r="V59" s="119" t="s">
        <v>600</v>
      </c>
      <c r="W59" s="122" t="s">
        <v>601</v>
      </c>
      <c r="X59" s="119" t="s">
        <v>602</v>
      </c>
      <c r="Y59" s="122"/>
      <c r="Z59" s="119" t="s">
        <v>603</v>
      </c>
    </row>
    <row r="60" customHeight="1" spans="1:26">
      <c r="A60" s="137"/>
      <c r="B60" s="119" t="s">
        <v>595</v>
      </c>
      <c r="C60" s="134" t="s">
        <v>604</v>
      </c>
      <c r="D60" s="119" t="s">
        <v>605</v>
      </c>
      <c r="E60" s="121" t="s">
        <v>606</v>
      </c>
      <c r="F60" s="119" t="s">
        <v>82</v>
      </c>
      <c r="G60" s="122" t="s">
        <v>607</v>
      </c>
      <c r="H60" s="119" t="s">
        <v>34</v>
      </c>
      <c r="I60" s="122"/>
      <c r="J60" s="119" t="s">
        <v>378</v>
      </c>
      <c r="K60" s="129" t="s">
        <v>608</v>
      </c>
      <c r="L60" s="119" t="s">
        <v>609</v>
      </c>
      <c r="M60" s="122"/>
      <c r="N60" s="119" t="s">
        <v>85</v>
      </c>
      <c r="O60" s="122" t="s">
        <v>610</v>
      </c>
      <c r="P60" s="119" t="s">
        <v>609</v>
      </c>
      <c r="Q60" s="129"/>
      <c r="R60" s="119"/>
      <c r="S60" s="122" t="s">
        <v>87</v>
      </c>
      <c r="T60" s="119" t="s">
        <v>136</v>
      </c>
      <c r="U60" s="122"/>
      <c r="V60" s="119" t="s">
        <v>611</v>
      </c>
      <c r="W60" s="122" t="s">
        <v>612</v>
      </c>
      <c r="X60" s="119" t="s">
        <v>613</v>
      </c>
      <c r="Y60" s="122" t="s">
        <v>614</v>
      </c>
      <c r="Z60" s="119" t="s">
        <v>615</v>
      </c>
    </row>
    <row r="61" customHeight="1" spans="1:26">
      <c r="A61" s="140"/>
      <c r="B61" s="119"/>
      <c r="C61" s="134"/>
      <c r="D61" s="119" t="s">
        <v>616</v>
      </c>
      <c r="E61" s="121" t="s">
        <v>606</v>
      </c>
      <c r="F61" s="119" t="s">
        <v>617</v>
      </c>
      <c r="G61" s="122" t="s">
        <v>618</v>
      </c>
      <c r="H61" s="119" t="s">
        <v>34</v>
      </c>
      <c r="I61" s="122"/>
      <c r="J61" s="119" t="s">
        <v>378</v>
      </c>
      <c r="K61" s="129" t="s">
        <v>608</v>
      </c>
      <c r="L61" s="119" t="s">
        <v>609</v>
      </c>
      <c r="M61" s="122"/>
      <c r="N61" s="119" t="s">
        <v>619</v>
      </c>
      <c r="O61" s="122" t="s">
        <v>620</v>
      </c>
      <c r="P61" s="119" t="s">
        <v>609</v>
      </c>
      <c r="Q61" s="129"/>
      <c r="R61" s="119"/>
      <c r="S61" s="122" t="s">
        <v>87</v>
      </c>
      <c r="T61" s="119" t="s">
        <v>199</v>
      </c>
      <c r="U61" s="122"/>
      <c r="V61" s="119" t="s">
        <v>611</v>
      </c>
      <c r="W61" s="122" t="s">
        <v>612</v>
      </c>
      <c r="X61" s="119" t="s">
        <v>613</v>
      </c>
      <c r="Y61" s="122" t="s">
        <v>614</v>
      </c>
      <c r="Z61" s="119" t="s">
        <v>615</v>
      </c>
    </row>
    <row r="62" customHeight="1" spans="1:26">
      <c r="A62" s="118" t="s">
        <v>621</v>
      </c>
      <c r="B62" s="130" t="s">
        <v>622</v>
      </c>
      <c r="C62" s="127" t="s">
        <v>623</v>
      </c>
      <c r="D62" s="128" t="s">
        <v>624</v>
      </c>
      <c r="E62" s="133">
        <v>44012</v>
      </c>
      <c r="F62" s="131" t="s">
        <v>145</v>
      </c>
      <c r="G62" s="133" t="s">
        <v>146</v>
      </c>
      <c r="H62" s="119" t="s">
        <v>34</v>
      </c>
      <c r="I62" s="122" t="s">
        <v>147</v>
      </c>
      <c r="J62" s="119" t="s">
        <v>36</v>
      </c>
      <c r="K62" s="123">
        <v>0.7</v>
      </c>
      <c r="L62" s="119" t="s">
        <v>37</v>
      </c>
      <c r="M62" s="122"/>
      <c r="N62" s="119"/>
      <c r="O62" s="122" t="s">
        <v>148</v>
      </c>
      <c r="P62" s="119"/>
      <c r="Q62" s="123"/>
      <c r="R62" s="119"/>
      <c r="S62" s="122" t="s">
        <v>87</v>
      </c>
      <c r="T62" s="119" t="s">
        <v>136</v>
      </c>
      <c r="U62" s="122"/>
      <c r="V62" s="119"/>
      <c r="W62" s="122" t="s">
        <v>625</v>
      </c>
      <c r="X62" s="119" t="s">
        <v>626</v>
      </c>
      <c r="Y62" s="122" t="s">
        <v>627</v>
      </c>
      <c r="Z62" s="119"/>
    </row>
    <row r="63" customHeight="1" spans="1:26">
      <c r="A63" s="118"/>
      <c r="B63" s="119" t="s">
        <v>628</v>
      </c>
      <c r="C63" s="127" t="s">
        <v>629</v>
      </c>
      <c r="D63" s="128" t="s">
        <v>629</v>
      </c>
      <c r="E63" s="121">
        <v>44013</v>
      </c>
      <c r="F63" s="119" t="s">
        <v>630</v>
      </c>
      <c r="G63" s="122" t="s">
        <v>631</v>
      </c>
      <c r="H63" s="119" t="s">
        <v>34</v>
      </c>
      <c r="I63" s="122" t="s">
        <v>632</v>
      </c>
      <c r="J63" s="119" t="s">
        <v>36</v>
      </c>
      <c r="K63" s="129">
        <v>0.9</v>
      </c>
      <c r="L63" s="119" t="s">
        <v>215</v>
      </c>
      <c r="M63" s="122" t="s">
        <v>36</v>
      </c>
      <c r="N63" s="119" t="s">
        <v>38</v>
      </c>
      <c r="O63" s="122" t="s">
        <v>633</v>
      </c>
      <c r="P63" s="119" t="s">
        <v>215</v>
      </c>
      <c r="Q63" s="129">
        <v>0.9</v>
      </c>
      <c r="R63" s="119"/>
      <c r="S63" s="122" t="s">
        <v>87</v>
      </c>
      <c r="T63" s="119" t="s">
        <v>634</v>
      </c>
      <c r="U63" s="122"/>
      <c r="V63" s="119" t="s">
        <v>635</v>
      </c>
      <c r="W63" s="122" t="s">
        <v>636</v>
      </c>
      <c r="X63" s="119"/>
      <c r="Y63" s="122" t="s">
        <v>637</v>
      </c>
      <c r="Z63" s="119"/>
    </row>
    <row r="64" customHeight="1" spans="1:26">
      <c r="A64" s="118" t="s">
        <v>638</v>
      </c>
      <c r="B64" s="126" t="s">
        <v>639</v>
      </c>
      <c r="C64" s="127" t="s">
        <v>640</v>
      </c>
      <c r="D64" s="128" t="s">
        <v>640</v>
      </c>
      <c r="E64" s="122" t="s">
        <v>641</v>
      </c>
      <c r="F64" s="119" t="s">
        <v>82</v>
      </c>
      <c r="G64" s="122" t="s">
        <v>642</v>
      </c>
      <c r="H64" s="119"/>
      <c r="I64" s="122" t="s">
        <v>632</v>
      </c>
      <c r="J64" s="119" t="s">
        <v>36</v>
      </c>
      <c r="K64" s="129">
        <v>0.8</v>
      </c>
      <c r="L64" s="119" t="s">
        <v>367</v>
      </c>
      <c r="M64" s="122" t="s">
        <v>36</v>
      </c>
      <c r="N64" s="119" t="s">
        <v>44</v>
      </c>
      <c r="O64" s="122" t="s">
        <v>643</v>
      </c>
      <c r="P64" s="119" t="s">
        <v>37</v>
      </c>
      <c r="Q64" s="129">
        <v>0.8</v>
      </c>
      <c r="R64" s="119"/>
      <c r="S64" s="122" t="s">
        <v>87</v>
      </c>
      <c r="T64" s="119" t="s">
        <v>190</v>
      </c>
      <c r="U64" s="122"/>
      <c r="V64" s="119" t="s">
        <v>644</v>
      </c>
      <c r="W64" s="122"/>
      <c r="X64" s="119"/>
      <c r="Y64" s="122" t="s">
        <v>645</v>
      </c>
      <c r="Z64" s="119" t="s">
        <v>646</v>
      </c>
    </row>
    <row r="65" customHeight="1" spans="1:26">
      <c r="A65" s="118"/>
      <c r="B65" s="130" t="s">
        <v>647</v>
      </c>
      <c r="C65" s="127" t="s">
        <v>648</v>
      </c>
      <c r="D65" s="128" t="s">
        <v>648</v>
      </c>
      <c r="E65" s="122" t="s">
        <v>103</v>
      </c>
      <c r="F65" s="119" t="s">
        <v>155</v>
      </c>
      <c r="G65" s="122" t="s">
        <v>649</v>
      </c>
      <c r="H65" s="119" t="s">
        <v>34</v>
      </c>
      <c r="I65" s="122" t="s">
        <v>84</v>
      </c>
      <c r="J65" s="119" t="s">
        <v>213</v>
      </c>
      <c r="K65" s="129">
        <v>0.8</v>
      </c>
      <c r="L65" s="119" t="s">
        <v>367</v>
      </c>
      <c r="M65" s="122" t="s">
        <v>213</v>
      </c>
      <c r="N65" s="119" t="s">
        <v>650</v>
      </c>
      <c r="O65" s="122" t="s">
        <v>651</v>
      </c>
      <c r="P65" s="119" t="s">
        <v>37</v>
      </c>
      <c r="Q65" s="129">
        <v>0.8</v>
      </c>
      <c r="R65" s="119"/>
      <c r="S65" s="122" t="s">
        <v>87</v>
      </c>
      <c r="T65" s="119" t="s">
        <v>96</v>
      </c>
      <c r="U65" s="122"/>
      <c r="V65" s="119" t="s">
        <v>652</v>
      </c>
      <c r="W65" s="122" t="s">
        <v>653</v>
      </c>
      <c r="X65" s="119" t="s">
        <v>654</v>
      </c>
      <c r="Y65" s="122" t="s">
        <v>655</v>
      </c>
      <c r="Z65" s="119"/>
    </row>
    <row r="66" customHeight="1" spans="1:26">
      <c r="A66" s="118"/>
      <c r="B66" s="119"/>
      <c r="C66" s="127" t="s">
        <v>656</v>
      </c>
      <c r="D66" s="128" t="s">
        <v>656</v>
      </c>
      <c r="E66" s="122" t="s">
        <v>103</v>
      </c>
      <c r="F66" s="119" t="s">
        <v>155</v>
      </c>
      <c r="G66" s="122" t="s">
        <v>649</v>
      </c>
      <c r="H66" s="119" t="s">
        <v>34</v>
      </c>
      <c r="I66" s="122" t="s">
        <v>632</v>
      </c>
      <c r="J66" s="119" t="s">
        <v>213</v>
      </c>
      <c r="K66" s="129">
        <v>0.8</v>
      </c>
      <c r="L66" s="119" t="s">
        <v>367</v>
      </c>
      <c r="M66" s="122" t="s">
        <v>213</v>
      </c>
      <c r="N66" s="119" t="s">
        <v>44</v>
      </c>
      <c r="O66" s="122" t="s">
        <v>657</v>
      </c>
      <c r="P66" s="119" t="s">
        <v>37</v>
      </c>
      <c r="Q66" s="129">
        <v>0.8</v>
      </c>
      <c r="R66" s="119"/>
      <c r="S66" s="122" t="s">
        <v>87</v>
      </c>
      <c r="T66" s="119" t="s">
        <v>190</v>
      </c>
      <c r="U66" s="122"/>
      <c r="V66" s="119"/>
      <c r="W66" s="122" t="s">
        <v>658</v>
      </c>
      <c r="X66" s="119" t="s">
        <v>626</v>
      </c>
      <c r="Y66" s="122" t="s">
        <v>659</v>
      </c>
      <c r="Z66" s="119"/>
    </row>
    <row r="67" customHeight="1" spans="1:26">
      <c r="A67" s="118"/>
      <c r="B67" s="119" t="s">
        <v>660</v>
      </c>
      <c r="C67" s="144" t="s">
        <v>661</v>
      </c>
      <c r="D67" s="128" t="s">
        <v>661</v>
      </c>
      <c r="E67" s="122" t="s">
        <v>662</v>
      </c>
      <c r="F67" s="119" t="s">
        <v>310</v>
      </c>
      <c r="G67" s="122" t="s">
        <v>196</v>
      </c>
      <c r="H67" s="119" t="s">
        <v>34</v>
      </c>
      <c r="I67" s="122" t="s">
        <v>632</v>
      </c>
      <c r="J67" s="119" t="s">
        <v>213</v>
      </c>
      <c r="K67" s="129">
        <v>0.8</v>
      </c>
      <c r="L67" s="119" t="s">
        <v>367</v>
      </c>
      <c r="M67" s="122" t="s">
        <v>213</v>
      </c>
      <c r="N67" s="119" t="s">
        <v>663</v>
      </c>
      <c r="O67" s="122" t="s">
        <v>664</v>
      </c>
      <c r="P67" s="119" t="s">
        <v>37</v>
      </c>
      <c r="Q67" s="129">
        <v>0.8</v>
      </c>
      <c r="R67" s="119"/>
      <c r="S67" s="122" t="s">
        <v>87</v>
      </c>
      <c r="T67" s="119" t="s">
        <v>665</v>
      </c>
      <c r="U67" s="122"/>
      <c r="V67" s="119" t="s">
        <v>666</v>
      </c>
      <c r="W67" s="122" t="s">
        <v>667</v>
      </c>
      <c r="X67" s="119" t="s">
        <v>668</v>
      </c>
      <c r="Y67" s="122"/>
      <c r="Z67" s="119"/>
    </row>
    <row r="68" customHeight="1" spans="1:26">
      <c r="A68" s="118"/>
      <c r="B68" s="119"/>
      <c r="C68" s="127" t="s">
        <v>669</v>
      </c>
      <c r="D68" s="128" t="s">
        <v>669</v>
      </c>
      <c r="E68" s="121">
        <v>44061</v>
      </c>
      <c r="F68" s="119" t="s">
        <v>155</v>
      </c>
      <c r="G68" s="122" t="s">
        <v>303</v>
      </c>
      <c r="H68" s="119" t="s">
        <v>34</v>
      </c>
      <c r="I68" s="122" t="s">
        <v>166</v>
      </c>
      <c r="J68" s="119" t="s">
        <v>213</v>
      </c>
      <c r="K68" s="129">
        <v>0.8</v>
      </c>
      <c r="L68" s="119" t="s">
        <v>670</v>
      </c>
      <c r="M68" s="122" t="s">
        <v>213</v>
      </c>
      <c r="N68" s="119" t="s">
        <v>85</v>
      </c>
      <c r="O68" s="122" t="s">
        <v>671</v>
      </c>
      <c r="P68" s="119" t="s">
        <v>670</v>
      </c>
      <c r="Q68" s="129">
        <v>0.8</v>
      </c>
      <c r="R68" s="119"/>
      <c r="S68" s="122" t="s">
        <v>87</v>
      </c>
      <c r="T68" s="119" t="s">
        <v>672</v>
      </c>
      <c r="U68" s="122"/>
      <c r="V68" s="119" t="s">
        <v>673</v>
      </c>
      <c r="W68" s="122" t="s">
        <v>674</v>
      </c>
      <c r="X68" s="119" t="s">
        <v>675</v>
      </c>
      <c r="Y68" s="122" t="s">
        <v>676</v>
      </c>
      <c r="Z68" s="119" t="s">
        <v>677</v>
      </c>
    </row>
    <row r="69" customHeight="1" spans="1:26">
      <c r="A69" s="118" t="s">
        <v>678</v>
      </c>
      <c r="B69" s="126" t="s">
        <v>679</v>
      </c>
      <c r="C69" s="127" t="s">
        <v>680</v>
      </c>
      <c r="D69" s="128" t="s">
        <v>681</v>
      </c>
      <c r="E69" s="122">
        <v>2020</v>
      </c>
      <c r="F69" s="119" t="s">
        <v>682</v>
      </c>
      <c r="G69" s="122" t="s">
        <v>234</v>
      </c>
      <c r="H69" s="119" t="s">
        <v>34</v>
      </c>
      <c r="I69" s="122" t="s">
        <v>683</v>
      </c>
      <c r="J69" s="119" t="s">
        <v>213</v>
      </c>
      <c r="K69" s="129">
        <v>0.8</v>
      </c>
      <c r="L69" s="119" t="s">
        <v>37</v>
      </c>
      <c r="M69" s="122" t="s">
        <v>213</v>
      </c>
      <c r="N69" s="119" t="s">
        <v>38</v>
      </c>
      <c r="O69" s="122" t="s">
        <v>684</v>
      </c>
      <c r="P69" s="119" t="s">
        <v>37</v>
      </c>
      <c r="Q69" s="129">
        <v>0.8</v>
      </c>
      <c r="R69" s="119"/>
      <c r="S69" s="122" t="s">
        <v>87</v>
      </c>
      <c r="T69" s="119" t="s">
        <v>685</v>
      </c>
      <c r="U69" s="122"/>
      <c r="V69" s="119" t="s">
        <v>686</v>
      </c>
      <c r="W69" s="122"/>
      <c r="X69" s="119" t="s">
        <v>687</v>
      </c>
      <c r="Y69" s="122" t="s">
        <v>688</v>
      </c>
      <c r="Z69" s="119"/>
    </row>
    <row r="70" customHeight="1" spans="1:26">
      <c r="A70" s="118"/>
      <c r="B70" s="126"/>
      <c r="C70" s="127" t="s">
        <v>689</v>
      </c>
      <c r="D70" s="128" t="s">
        <v>690</v>
      </c>
      <c r="E70" s="122">
        <v>2020</v>
      </c>
      <c r="F70" s="119" t="s">
        <v>691</v>
      </c>
      <c r="G70" s="122" t="s">
        <v>234</v>
      </c>
      <c r="H70" s="119" t="s">
        <v>34</v>
      </c>
      <c r="I70" s="122" t="s">
        <v>692</v>
      </c>
      <c r="J70" s="119" t="s">
        <v>36</v>
      </c>
      <c r="K70" s="129">
        <v>0.7</v>
      </c>
      <c r="L70" s="119" t="s">
        <v>37</v>
      </c>
      <c r="M70" s="122">
        <v>0</v>
      </c>
      <c r="N70" s="119" t="s">
        <v>38</v>
      </c>
      <c r="O70" s="122" t="s">
        <v>693</v>
      </c>
      <c r="P70" s="119" t="s">
        <v>37</v>
      </c>
      <c r="Q70" s="129">
        <v>0.8</v>
      </c>
      <c r="R70" s="119"/>
      <c r="S70" s="122" t="s">
        <v>87</v>
      </c>
      <c r="T70" s="119" t="s">
        <v>694</v>
      </c>
      <c r="U70" s="122"/>
      <c r="V70" s="119"/>
      <c r="W70" s="122" t="s">
        <v>695</v>
      </c>
      <c r="X70" s="119" t="s">
        <v>696</v>
      </c>
      <c r="Y70" s="122" t="s">
        <v>697</v>
      </c>
      <c r="Z70" s="119"/>
    </row>
    <row r="71" customHeight="1" spans="1:26">
      <c r="A71" s="118"/>
      <c r="B71" s="126"/>
      <c r="C71" s="127" t="s">
        <v>698</v>
      </c>
      <c r="D71" s="128" t="s">
        <v>698</v>
      </c>
      <c r="E71" s="122" t="s">
        <v>699</v>
      </c>
      <c r="F71" s="119" t="s">
        <v>155</v>
      </c>
      <c r="G71" s="122" t="s">
        <v>700</v>
      </c>
      <c r="H71" s="119" t="s">
        <v>34</v>
      </c>
      <c r="I71" s="122" t="s">
        <v>683</v>
      </c>
      <c r="J71" s="119" t="s">
        <v>213</v>
      </c>
      <c r="K71" s="129">
        <v>0.8</v>
      </c>
      <c r="L71" s="119" t="s">
        <v>37</v>
      </c>
      <c r="M71" s="122" t="s">
        <v>213</v>
      </c>
      <c r="N71" s="119" t="s">
        <v>38</v>
      </c>
      <c r="O71" s="122" t="s">
        <v>684</v>
      </c>
      <c r="P71" s="119" t="s">
        <v>37</v>
      </c>
      <c r="Q71" s="129">
        <v>0.8</v>
      </c>
      <c r="R71" s="119"/>
      <c r="S71" s="122" t="s">
        <v>87</v>
      </c>
      <c r="T71" s="119" t="s">
        <v>136</v>
      </c>
      <c r="U71" s="122"/>
      <c r="V71" s="119" t="s">
        <v>701</v>
      </c>
      <c r="W71" s="122" t="s">
        <v>702</v>
      </c>
      <c r="X71" s="119" t="s">
        <v>703</v>
      </c>
      <c r="Y71" s="122" t="s">
        <v>704</v>
      </c>
      <c r="Z71" s="119" t="s">
        <v>705</v>
      </c>
    </row>
    <row r="72" customHeight="1" spans="1:26">
      <c r="A72" s="118"/>
      <c r="B72" s="119" t="s">
        <v>706</v>
      </c>
      <c r="C72" s="127" t="s">
        <v>707</v>
      </c>
      <c r="D72" s="128" t="s">
        <v>707</v>
      </c>
      <c r="E72" s="122" t="s">
        <v>103</v>
      </c>
      <c r="F72" s="119" t="s">
        <v>708</v>
      </c>
      <c r="G72" s="122" t="s">
        <v>709</v>
      </c>
      <c r="H72" s="119" t="s">
        <v>34</v>
      </c>
      <c r="I72" s="122" t="s">
        <v>166</v>
      </c>
      <c r="J72" s="119" t="s">
        <v>36</v>
      </c>
      <c r="K72" s="129">
        <v>0.8</v>
      </c>
      <c r="L72" s="119" t="s">
        <v>37</v>
      </c>
      <c r="M72" s="122" t="s">
        <v>36</v>
      </c>
      <c r="N72" s="119" t="s">
        <v>51</v>
      </c>
      <c r="O72" s="122" t="s">
        <v>710</v>
      </c>
      <c r="P72" s="119" t="s">
        <v>37</v>
      </c>
      <c r="Q72" s="129">
        <v>0.8</v>
      </c>
      <c r="R72" s="119"/>
      <c r="S72" s="122" t="s">
        <v>87</v>
      </c>
      <c r="T72" s="119" t="s">
        <v>199</v>
      </c>
      <c r="U72" s="122"/>
      <c r="V72" s="119"/>
      <c r="W72" s="122" t="s">
        <v>711</v>
      </c>
      <c r="X72" s="119" t="s">
        <v>266</v>
      </c>
      <c r="Y72" s="122" t="s">
        <v>712</v>
      </c>
      <c r="Z72" s="119" t="s">
        <v>713</v>
      </c>
    </row>
    <row r="73" customHeight="1" spans="1:26">
      <c r="A73" s="118"/>
      <c r="B73" s="119" t="s">
        <v>714</v>
      </c>
      <c r="C73" s="127" t="s">
        <v>715</v>
      </c>
      <c r="D73" s="128" t="s">
        <v>715</v>
      </c>
      <c r="E73" s="122">
        <v>2020</v>
      </c>
      <c r="F73" s="119" t="s">
        <v>682</v>
      </c>
      <c r="G73" s="122" t="s">
        <v>716</v>
      </c>
      <c r="H73" s="119" t="s">
        <v>34</v>
      </c>
      <c r="I73" s="122" t="s">
        <v>717</v>
      </c>
      <c r="J73" s="119" t="s">
        <v>36</v>
      </c>
      <c r="K73" s="129">
        <v>0.8</v>
      </c>
      <c r="L73" s="119" t="s">
        <v>37</v>
      </c>
      <c r="M73" s="122" t="s">
        <v>36</v>
      </c>
      <c r="N73" s="119" t="s">
        <v>38</v>
      </c>
      <c r="O73" s="122" t="s">
        <v>718</v>
      </c>
      <c r="P73" s="119" t="s">
        <v>37</v>
      </c>
      <c r="Q73" s="129">
        <v>0.8</v>
      </c>
      <c r="R73" s="119"/>
      <c r="S73" s="122" t="s">
        <v>87</v>
      </c>
      <c r="T73" s="119" t="s">
        <v>207</v>
      </c>
      <c r="U73" s="122"/>
      <c r="V73" s="119" t="s">
        <v>719</v>
      </c>
      <c r="W73" s="122" t="s">
        <v>720</v>
      </c>
      <c r="X73" s="119" t="s">
        <v>299</v>
      </c>
      <c r="Y73" s="122" t="s">
        <v>721</v>
      </c>
      <c r="Z73" s="119" t="s">
        <v>722</v>
      </c>
    </row>
    <row r="74" customHeight="1" spans="1:26">
      <c r="A74" s="118"/>
      <c r="B74" s="119" t="s">
        <v>714</v>
      </c>
      <c r="C74" s="134" t="s">
        <v>723</v>
      </c>
      <c r="D74" s="145" t="s">
        <v>723</v>
      </c>
      <c r="E74" s="122" t="s">
        <v>724</v>
      </c>
      <c r="F74" s="119" t="s">
        <v>82</v>
      </c>
      <c r="G74" s="122" t="s">
        <v>725</v>
      </c>
      <c r="H74" s="119" t="s">
        <v>34</v>
      </c>
      <c r="I74" s="122" t="s">
        <v>692</v>
      </c>
      <c r="J74" s="119" t="s">
        <v>36</v>
      </c>
      <c r="K74" s="129">
        <v>0.8</v>
      </c>
      <c r="L74" s="119" t="s">
        <v>43</v>
      </c>
      <c r="M74" s="122">
        <v>0</v>
      </c>
      <c r="N74" s="119">
        <v>0</v>
      </c>
      <c r="O74" s="122"/>
      <c r="P74" s="119" t="s">
        <v>134</v>
      </c>
      <c r="Q74" s="129">
        <v>0</v>
      </c>
      <c r="R74" s="119"/>
      <c r="S74" s="122" t="s">
        <v>87</v>
      </c>
      <c r="T74" s="119" t="s">
        <v>158</v>
      </c>
      <c r="U74" s="122"/>
      <c r="V74" s="119" t="s">
        <v>726</v>
      </c>
      <c r="W74" s="122" t="s">
        <v>334</v>
      </c>
      <c r="X74" s="119" t="s">
        <v>727</v>
      </c>
      <c r="Y74" s="122"/>
      <c r="Z74" s="119" t="s">
        <v>728</v>
      </c>
    </row>
    <row r="75" customHeight="1" spans="1:26">
      <c r="A75" s="118"/>
      <c r="B75" s="130" t="s">
        <v>729</v>
      </c>
      <c r="C75" s="127" t="s">
        <v>681</v>
      </c>
      <c r="D75" s="119" t="s">
        <v>730</v>
      </c>
      <c r="E75" s="121">
        <v>44105</v>
      </c>
      <c r="F75" s="119" t="s">
        <v>82</v>
      </c>
      <c r="G75" s="122" t="s">
        <v>731</v>
      </c>
      <c r="H75" s="119" t="s">
        <v>34</v>
      </c>
      <c r="I75" s="122" t="s">
        <v>225</v>
      </c>
      <c r="J75" s="119" t="s">
        <v>36</v>
      </c>
      <c r="K75" s="129">
        <v>0.8</v>
      </c>
      <c r="L75" s="119" t="s">
        <v>367</v>
      </c>
      <c r="M75" s="122">
        <v>0</v>
      </c>
      <c r="N75" s="119" t="s">
        <v>38</v>
      </c>
      <c r="O75" s="122" t="s">
        <v>732</v>
      </c>
      <c r="P75" s="142" t="s">
        <v>37</v>
      </c>
      <c r="Q75" s="129">
        <v>0.8</v>
      </c>
      <c r="R75" s="119"/>
      <c r="S75" s="122" t="s">
        <v>87</v>
      </c>
      <c r="T75" s="119" t="s">
        <v>207</v>
      </c>
      <c r="U75" s="122"/>
      <c r="V75" s="119"/>
      <c r="W75" s="122" t="s">
        <v>733</v>
      </c>
      <c r="X75" s="119" t="s">
        <v>730</v>
      </c>
      <c r="Y75" s="122" t="s">
        <v>734</v>
      </c>
      <c r="Z75" s="119" t="s">
        <v>735</v>
      </c>
    </row>
    <row r="76" customHeight="1" spans="1:26">
      <c r="A76" s="118" t="s">
        <v>736</v>
      </c>
      <c r="B76" s="130" t="s">
        <v>737</v>
      </c>
      <c r="C76" s="127" t="s">
        <v>738</v>
      </c>
      <c r="D76" s="128" t="s">
        <v>738</v>
      </c>
      <c r="E76" s="121">
        <v>44077</v>
      </c>
      <c r="F76" s="119" t="s">
        <v>739</v>
      </c>
      <c r="G76" s="122" t="s">
        <v>740</v>
      </c>
      <c r="H76" s="131" t="s">
        <v>34</v>
      </c>
      <c r="I76" s="122" t="s">
        <v>741</v>
      </c>
      <c r="J76" s="119" t="s">
        <v>742</v>
      </c>
      <c r="K76" s="129">
        <v>0.75</v>
      </c>
      <c r="L76" s="119" t="s">
        <v>37</v>
      </c>
      <c r="M76" s="122" t="s">
        <v>742</v>
      </c>
      <c r="N76" s="119" t="s">
        <v>38</v>
      </c>
      <c r="O76" s="122" t="s">
        <v>743</v>
      </c>
      <c r="P76" s="119" t="s">
        <v>37</v>
      </c>
      <c r="Q76" s="129">
        <v>0.75</v>
      </c>
      <c r="R76" s="119"/>
      <c r="S76" s="122" t="s">
        <v>87</v>
      </c>
      <c r="T76" s="119" t="s">
        <v>207</v>
      </c>
      <c r="U76" s="122"/>
      <c r="V76" s="119" t="s">
        <v>744</v>
      </c>
      <c r="W76" s="122" t="s">
        <v>745</v>
      </c>
      <c r="X76" s="119" t="s">
        <v>746</v>
      </c>
      <c r="Y76" s="122" t="s">
        <v>747</v>
      </c>
      <c r="Z76" s="119" t="s">
        <v>748</v>
      </c>
    </row>
    <row r="77" customHeight="1" spans="1:26">
      <c r="A77" s="136" t="s">
        <v>749</v>
      </c>
      <c r="B77" s="130" t="s">
        <v>750</v>
      </c>
      <c r="C77" s="127" t="s">
        <v>751</v>
      </c>
      <c r="D77" s="128" t="s">
        <v>751</v>
      </c>
      <c r="E77" s="133">
        <v>44013</v>
      </c>
      <c r="F77" s="131" t="s">
        <v>752</v>
      </c>
      <c r="G77" s="133" t="s">
        <v>146</v>
      </c>
      <c r="H77" s="119" t="s">
        <v>34</v>
      </c>
      <c r="I77" s="122" t="s">
        <v>177</v>
      </c>
      <c r="J77" s="119" t="s">
        <v>36</v>
      </c>
      <c r="K77" s="123">
        <v>0.8</v>
      </c>
      <c r="L77" s="119" t="s">
        <v>37</v>
      </c>
      <c r="M77" s="122" t="s">
        <v>36</v>
      </c>
      <c r="N77" s="119" t="s">
        <v>134</v>
      </c>
      <c r="O77" s="122" t="s">
        <v>148</v>
      </c>
      <c r="P77" s="119" t="s">
        <v>37</v>
      </c>
      <c r="Q77" s="123">
        <v>0.8</v>
      </c>
      <c r="R77" s="119" t="s">
        <v>753</v>
      </c>
      <c r="S77" s="122" t="s">
        <v>87</v>
      </c>
      <c r="T77" s="119" t="s">
        <v>754</v>
      </c>
      <c r="U77" s="122"/>
      <c r="V77" s="119"/>
      <c r="W77" s="122" t="s">
        <v>755</v>
      </c>
      <c r="X77" s="119"/>
      <c r="Y77" s="122" t="s">
        <v>756</v>
      </c>
      <c r="Z77" s="119" t="s">
        <v>757</v>
      </c>
    </row>
    <row r="78" customHeight="1" spans="1:26">
      <c r="A78" s="137"/>
      <c r="B78" s="119"/>
      <c r="C78" s="127" t="s">
        <v>758</v>
      </c>
      <c r="D78" s="128" t="s">
        <v>758</v>
      </c>
      <c r="E78" s="133" t="s">
        <v>759</v>
      </c>
      <c r="F78" s="131" t="s">
        <v>320</v>
      </c>
      <c r="G78" s="133" t="s">
        <v>760</v>
      </c>
      <c r="H78" s="131" t="s">
        <v>34</v>
      </c>
      <c r="I78" s="122" t="s">
        <v>166</v>
      </c>
      <c r="J78" s="119" t="s">
        <v>36</v>
      </c>
      <c r="K78" s="123">
        <v>1</v>
      </c>
      <c r="L78" s="119" t="s">
        <v>37</v>
      </c>
      <c r="M78" s="122" t="s">
        <v>36</v>
      </c>
      <c r="N78" s="119" t="s">
        <v>249</v>
      </c>
      <c r="O78" s="122" t="s">
        <v>761</v>
      </c>
      <c r="P78" s="119" t="s">
        <v>762</v>
      </c>
      <c r="Q78" s="123">
        <v>0.7</v>
      </c>
      <c r="R78" s="119"/>
      <c r="S78" s="122" t="s">
        <v>87</v>
      </c>
      <c r="T78" s="119" t="s">
        <v>273</v>
      </c>
      <c r="U78" s="122"/>
      <c r="V78" s="119" t="s">
        <v>763</v>
      </c>
      <c r="W78" s="122" t="s">
        <v>764</v>
      </c>
      <c r="X78" s="119"/>
      <c r="Y78" s="122" t="s">
        <v>765</v>
      </c>
      <c r="Z78" s="119"/>
    </row>
    <row r="79" customHeight="1" spans="1:26">
      <c r="A79" s="137"/>
      <c r="B79" s="126" t="s">
        <v>766</v>
      </c>
      <c r="C79" s="127" t="s">
        <v>767</v>
      </c>
      <c r="D79" s="119" t="s">
        <v>768</v>
      </c>
      <c r="E79" s="121" t="s">
        <v>769</v>
      </c>
      <c r="F79" s="119" t="s">
        <v>104</v>
      </c>
      <c r="G79" s="122" t="s">
        <v>770</v>
      </c>
      <c r="H79" s="119" t="s">
        <v>34</v>
      </c>
      <c r="I79" s="122" t="s">
        <v>771</v>
      </c>
      <c r="J79" s="119" t="s">
        <v>772</v>
      </c>
      <c r="K79" s="123">
        <v>0.8</v>
      </c>
      <c r="L79" s="119" t="s">
        <v>37</v>
      </c>
      <c r="M79" s="122">
        <v>0</v>
      </c>
      <c r="N79" s="119" t="s">
        <v>38</v>
      </c>
      <c r="O79" s="122" t="s">
        <v>773</v>
      </c>
      <c r="P79" s="119"/>
      <c r="Q79" s="123">
        <v>0.8</v>
      </c>
      <c r="R79" s="119"/>
      <c r="S79" s="122" t="s">
        <v>46</v>
      </c>
      <c r="T79" s="119" t="s">
        <v>136</v>
      </c>
      <c r="U79" s="122"/>
      <c r="V79" s="119" t="s">
        <v>774</v>
      </c>
      <c r="W79" s="122"/>
      <c r="X79" s="119"/>
      <c r="Y79" s="122"/>
      <c r="Z79" s="119">
        <v>4001152055</v>
      </c>
    </row>
    <row r="80" customHeight="1" spans="1:26">
      <c r="A80" s="137"/>
      <c r="B80" s="126" t="s">
        <v>766</v>
      </c>
      <c r="C80" s="127" t="s">
        <v>768</v>
      </c>
      <c r="D80" s="128" t="s">
        <v>768</v>
      </c>
      <c r="E80" s="133" t="s">
        <v>769</v>
      </c>
      <c r="F80" s="131" t="s">
        <v>104</v>
      </c>
      <c r="G80" s="133" t="s">
        <v>770</v>
      </c>
      <c r="H80" s="131" t="s">
        <v>34</v>
      </c>
      <c r="I80" s="122"/>
      <c r="J80" s="119" t="s">
        <v>775</v>
      </c>
      <c r="K80" s="123">
        <v>0.8</v>
      </c>
      <c r="L80" s="119" t="s">
        <v>43</v>
      </c>
      <c r="M80" s="122">
        <v>0</v>
      </c>
      <c r="N80" s="119" t="s">
        <v>38</v>
      </c>
      <c r="O80" s="122" t="s">
        <v>776</v>
      </c>
      <c r="P80" s="119" t="s">
        <v>762</v>
      </c>
      <c r="Q80" s="123" t="s">
        <v>777</v>
      </c>
      <c r="R80" s="119"/>
      <c r="S80" s="122" t="s">
        <v>778</v>
      </c>
      <c r="T80" s="119" t="s">
        <v>779</v>
      </c>
      <c r="U80" s="122"/>
      <c r="V80" s="119"/>
      <c r="W80" s="122" t="s">
        <v>780</v>
      </c>
      <c r="X80" s="119" t="s">
        <v>287</v>
      </c>
      <c r="Y80" s="122" t="s">
        <v>781</v>
      </c>
      <c r="Z80" s="145" t="s">
        <v>782</v>
      </c>
    </row>
    <row r="81" customHeight="1" spans="1:26">
      <c r="A81" s="137"/>
      <c r="B81" s="119" t="s">
        <v>783</v>
      </c>
      <c r="C81" s="127" t="s">
        <v>784</v>
      </c>
      <c r="D81" s="128" t="s">
        <v>785</v>
      </c>
      <c r="E81" s="133" t="s">
        <v>786</v>
      </c>
      <c r="F81" s="131" t="s">
        <v>82</v>
      </c>
      <c r="G81" s="133" t="s">
        <v>234</v>
      </c>
      <c r="H81" s="131" t="s">
        <v>34</v>
      </c>
      <c r="I81" s="122"/>
      <c r="J81" s="119" t="s">
        <v>36</v>
      </c>
      <c r="K81" s="123">
        <v>0.8</v>
      </c>
      <c r="L81" s="119" t="s">
        <v>43</v>
      </c>
      <c r="M81" s="122">
        <v>0</v>
      </c>
      <c r="N81" s="119" t="s">
        <v>85</v>
      </c>
      <c r="O81" s="122" t="s">
        <v>787</v>
      </c>
      <c r="P81" s="119" t="s">
        <v>762</v>
      </c>
      <c r="Q81" s="123">
        <v>0.8</v>
      </c>
      <c r="R81" s="119"/>
      <c r="S81" s="122"/>
      <c r="T81" s="119" t="s">
        <v>779</v>
      </c>
      <c r="U81" s="122"/>
      <c r="V81" s="119"/>
      <c r="W81" s="146" t="s">
        <v>788</v>
      </c>
      <c r="X81" s="119"/>
      <c r="Y81" s="146" t="s">
        <v>789</v>
      </c>
      <c r="Z81" s="119"/>
    </row>
    <row r="82" customHeight="1" spans="1:26">
      <c r="A82" s="137"/>
      <c r="B82" s="119" t="s">
        <v>790</v>
      </c>
      <c r="C82" s="127" t="s">
        <v>791</v>
      </c>
      <c r="D82" s="128" t="s">
        <v>792</v>
      </c>
      <c r="E82" s="133"/>
      <c r="F82" s="131"/>
      <c r="G82" s="133"/>
      <c r="H82" s="131"/>
      <c r="I82" s="122"/>
      <c r="J82" s="119"/>
      <c r="K82" s="123"/>
      <c r="L82" s="119"/>
      <c r="M82" s="122"/>
      <c r="N82" s="119"/>
      <c r="O82" s="122"/>
      <c r="P82" s="119"/>
      <c r="Q82" s="123"/>
      <c r="R82" s="119"/>
      <c r="S82" s="122"/>
      <c r="T82" s="119"/>
      <c r="U82" s="122"/>
      <c r="V82" s="119"/>
      <c r="W82" s="122" t="s">
        <v>793</v>
      </c>
      <c r="X82" s="119" t="s">
        <v>794</v>
      </c>
      <c r="Y82" s="122"/>
      <c r="Z82" s="119"/>
    </row>
    <row r="83" customHeight="1" spans="1:26">
      <c r="A83" s="137"/>
      <c r="B83" s="119" t="s">
        <v>795</v>
      </c>
      <c r="C83" s="127" t="s">
        <v>796</v>
      </c>
      <c r="D83" s="128" t="s">
        <v>796</v>
      </c>
      <c r="E83" s="133"/>
      <c r="F83" s="131" t="s">
        <v>682</v>
      </c>
      <c r="G83" s="133" t="s">
        <v>797</v>
      </c>
      <c r="H83" s="131" t="s">
        <v>34</v>
      </c>
      <c r="I83" s="122" t="s">
        <v>798</v>
      </c>
      <c r="J83" s="119" t="s">
        <v>36</v>
      </c>
      <c r="K83" s="123">
        <v>0.8</v>
      </c>
      <c r="L83" s="119" t="s">
        <v>43</v>
      </c>
      <c r="M83" s="122">
        <v>0</v>
      </c>
      <c r="N83" s="119" t="s">
        <v>799</v>
      </c>
      <c r="O83" s="122" t="s">
        <v>800</v>
      </c>
      <c r="P83" s="119" t="s">
        <v>37</v>
      </c>
      <c r="Q83" s="123">
        <v>0.8</v>
      </c>
      <c r="R83" s="119"/>
      <c r="S83" s="122"/>
      <c r="T83" s="119" t="s">
        <v>801</v>
      </c>
      <c r="U83" s="122"/>
      <c r="V83" s="119" t="s">
        <v>802</v>
      </c>
      <c r="W83" s="122" t="s">
        <v>803</v>
      </c>
      <c r="X83" s="119" t="s">
        <v>804</v>
      </c>
      <c r="Y83" s="122"/>
      <c r="Z83" s="119" t="s">
        <v>805</v>
      </c>
    </row>
    <row r="84" customHeight="1" spans="1:26">
      <c r="A84" s="140"/>
      <c r="B84" s="119" t="s">
        <v>806</v>
      </c>
      <c r="C84" s="127" t="s">
        <v>807</v>
      </c>
      <c r="D84" s="128" t="s">
        <v>807</v>
      </c>
      <c r="E84" s="133" t="s">
        <v>808</v>
      </c>
      <c r="F84" s="131" t="s">
        <v>104</v>
      </c>
      <c r="G84" s="133" t="s">
        <v>498</v>
      </c>
      <c r="H84" s="131" t="s">
        <v>34</v>
      </c>
      <c r="I84" s="122" t="s">
        <v>84</v>
      </c>
      <c r="J84" s="119" t="s">
        <v>36</v>
      </c>
      <c r="K84" s="123">
        <v>0.8</v>
      </c>
      <c r="L84" s="119" t="s">
        <v>367</v>
      </c>
      <c r="M84" s="122">
        <v>0</v>
      </c>
      <c r="N84" s="119" t="s">
        <v>188</v>
      </c>
      <c r="O84" s="122" t="s">
        <v>809</v>
      </c>
      <c r="P84" s="119" t="s">
        <v>37</v>
      </c>
      <c r="Q84" s="123">
        <v>0.8</v>
      </c>
      <c r="R84" s="119"/>
      <c r="S84" s="122" t="s">
        <v>87</v>
      </c>
      <c r="T84" s="119" t="s">
        <v>810</v>
      </c>
      <c r="U84" s="122"/>
      <c r="V84" s="119"/>
      <c r="W84" s="122" t="s">
        <v>169</v>
      </c>
      <c r="X84" s="119"/>
      <c r="Y84" s="122"/>
      <c r="Z84" s="119"/>
    </row>
    <row r="85" customHeight="1" spans="1:26">
      <c r="A85" s="118" t="s">
        <v>811</v>
      </c>
      <c r="B85" s="126" t="s">
        <v>812</v>
      </c>
      <c r="C85" s="127" t="s">
        <v>813</v>
      </c>
      <c r="D85" s="119" t="s">
        <v>813</v>
      </c>
      <c r="E85" s="121" t="s">
        <v>814</v>
      </c>
      <c r="F85" s="119" t="s">
        <v>175</v>
      </c>
      <c r="G85" s="122" t="s">
        <v>815</v>
      </c>
      <c r="H85" s="119" t="s">
        <v>34</v>
      </c>
      <c r="I85" s="122" t="s">
        <v>388</v>
      </c>
      <c r="J85" s="119" t="s">
        <v>36</v>
      </c>
      <c r="K85" s="123">
        <v>0.8</v>
      </c>
      <c r="L85" s="119" t="s">
        <v>367</v>
      </c>
      <c r="M85" s="122">
        <v>0</v>
      </c>
      <c r="N85" s="119" t="s">
        <v>85</v>
      </c>
      <c r="O85" s="122" t="s">
        <v>816</v>
      </c>
      <c r="P85" s="119" t="s">
        <v>367</v>
      </c>
      <c r="Q85" s="123">
        <v>0.8</v>
      </c>
      <c r="R85" s="119"/>
      <c r="S85" s="122" t="s">
        <v>46</v>
      </c>
      <c r="T85" s="119" t="s">
        <v>817</v>
      </c>
      <c r="U85" s="122"/>
      <c r="V85" s="119"/>
      <c r="W85" s="122" t="s">
        <v>818</v>
      </c>
      <c r="X85" s="119" t="s">
        <v>819</v>
      </c>
      <c r="Y85" s="122" t="s">
        <v>820</v>
      </c>
      <c r="Z85" s="119" t="s">
        <v>821</v>
      </c>
    </row>
    <row r="86" customHeight="1" spans="1:26">
      <c r="A86" s="118" t="s">
        <v>822</v>
      </c>
      <c r="B86" s="126" t="s">
        <v>823</v>
      </c>
      <c r="C86" s="127" t="s">
        <v>824</v>
      </c>
      <c r="D86" s="119" t="s">
        <v>824</v>
      </c>
      <c r="E86" s="121" t="s">
        <v>825</v>
      </c>
      <c r="F86" s="119" t="s">
        <v>59</v>
      </c>
      <c r="G86" s="122" t="s">
        <v>826</v>
      </c>
      <c r="H86" s="119"/>
      <c r="I86" s="122" t="s">
        <v>827</v>
      </c>
      <c r="J86" s="119" t="s">
        <v>213</v>
      </c>
      <c r="K86" s="123">
        <v>0.8</v>
      </c>
      <c r="L86" s="119" t="s">
        <v>367</v>
      </c>
      <c r="M86" s="122" t="s">
        <v>213</v>
      </c>
      <c r="N86" s="119" t="s">
        <v>294</v>
      </c>
      <c r="O86" s="122" t="s">
        <v>828</v>
      </c>
      <c r="P86" s="119" t="s">
        <v>367</v>
      </c>
      <c r="Q86" s="123">
        <v>0.8</v>
      </c>
      <c r="R86" s="119"/>
      <c r="S86" s="122" t="s">
        <v>829</v>
      </c>
      <c r="T86" s="119" t="s">
        <v>207</v>
      </c>
      <c r="U86" s="122"/>
      <c r="V86" s="119" t="s">
        <v>830</v>
      </c>
      <c r="W86" s="122" t="s">
        <v>831</v>
      </c>
      <c r="X86" s="119" t="s">
        <v>832</v>
      </c>
      <c r="Y86" s="122"/>
      <c r="Z86" s="119"/>
    </row>
    <row r="87" customHeight="1" spans="1:26">
      <c r="A87" s="136" t="s">
        <v>833</v>
      </c>
      <c r="B87" s="126" t="s">
        <v>834</v>
      </c>
      <c r="C87" s="127" t="s">
        <v>835</v>
      </c>
      <c r="D87" s="119" t="s">
        <v>835</v>
      </c>
      <c r="E87" s="121" t="s">
        <v>836</v>
      </c>
      <c r="F87" s="119" t="s">
        <v>837</v>
      </c>
      <c r="G87" s="122" t="s">
        <v>838</v>
      </c>
      <c r="H87" s="119" t="s">
        <v>34</v>
      </c>
      <c r="I87" s="122" t="s">
        <v>839</v>
      </c>
      <c r="J87" s="119" t="s">
        <v>36</v>
      </c>
      <c r="K87" s="123">
        <v>0.9</v>
      </c>
      <c r="L87" s="119" t="s">
        <v>37</v>
      </c>
      <c r="M87" s="122">
        <v>0</v>
      </c>
      <c r="N87" s="119" t="s">
        <v>38</v>
      </c>
      <c r="O87" s="122" t="s">
        <v>840</v>
      </c>
      <c r="P87" s="119"/>
      <c r="Q87" s="123">
        <v>0.8</v>
      </c>
      <c r="R87" s="119"/>
      <c r="S87" s="122" t="s">
        <v>46</v>
      </c>
      <c r="T87" s="119" t="s">
        <v>841</v>
      </c>
      <c r="U87" s="122"/>
      <c r="V87" s="119"/>
      <c r="W87" s="122" t="s">
        <v>842</v>
      </c>
      <c r="X87" s="119" t="s">
        <v>266</v>
      </c>
      <c r="Y87" s="122"/>
      <c r="Z87" s="119" t="s">
        <v>843</v>
      </c>
    </row>
    <row r="88" customHeight="1" spans="1:26">
      <c r="A88" s="137"/>
      <c r="B88" s="119" t="s">
        <v>844</v>
      </c>
      <c r="C88" s="134" t="s">
        <v>845</v>
      </c>
      <c r="D88" s="119" t="s">
        <v>845</v>
      </c>
      <c r="E88" s="121" t="s">
        <v>846</v>
      </c>
      <c r="F88" s="119" t="s">
        <v>82</v>
      </c>
      <c r="G88" s="122" t="s">
        <v>797</v>
      </c>
      <c r="H88" s="119" t="s">
        <v>34</v>
      </c>
      <c r="I88" s="122" t="s">
        <v>847</v>
      </c>
      <c r="J88" s="119" t="s">
        <v>378</v>
      </c>
      <c r="K88" s="123">
        <v>0.8</v>
      </c>
      <c r="L88" s="119" t="s">
        <v>37</v>
      </c>
      <c r="M88" s="122">
        <v>0</v>
      </c>
      <c r="N88" s="119" t="s">
        <v>134</v>
      </c>
      <c r="O88" s="122" t="s">
        <v>368</v>
      </c>
      <c r="P88" s="119" t="s">
        <v>37</v>
      </c>
      <c r="Q88" s="123">
        <v>0.5</v>
      </c>
      <c r="R88" s="119"/>
      <c r="S88" s="122" t="s">
        <v>46</v>
      </c>
      <c r="T88" s="119" t="s">
        <v>109</v>
      </c>
      <c r="U88" s="122"/>
      <c r="V88" s="119" t="s">
        <v>848</v>
      </c>
      <c r="W88" s="122"/>
      <c r="X88" s="119"/>
      <c r="Y88" s="122" t="s">
        <v>849</v>
      </c>
      <c r="Z88" s="119" t="s">
        <v>850</v>
      </c>
    </row>
    <row r="89" customHeight="1" spans="1:26">
      <c r="A89" s="137"/>
      <c r="B89" s="119" t="s">
        <v>851</v>
      </c>
      <c r="C89" s="127" t="s">
        <v>835</v>
      </c>
      <c r="D89" s="128" t="s">
        <v>852</v>
      </c>
      <c r="E89" s="121" t="s">
        <v>853</v>
      </c>
      <c r="F89" s="119" t="s">
        <v>854</v>
      </c>
      <c r="G89" s="122" t="s">
        <v>855</v>
      </c>
      <c r="H89" s="131" t="s">
        <v>34</v>
      </c>
      <c r="I89" s="122" t="s">
        <v>147</v>
      </c>
      <c r="J89" s="119" t="s">
        <v>856</v>
      </c>
      <c r="K89" s="129" t="s">
        <v>857</v>
      </c>
      <c r="L89" s="119" t="s">
        <v>37</v>
      </c>
      <c r="M89" s="122">
        <v>0</v>
      </c>
      <c r="N89" s="119" t="s">
        <v>38</v>
      </c>
      <c r="O89" s="122" t="s">
        <v>858</v>
      </c>
      <c r="P89" s="119" t="s">
        <v>37</v>
      </c>
      <c r="Q89" s="129">
        <v>0.75</v>
      </c>
      <c r="R89" s="119"/>
      <c r="S89" s="122" t="s">
        <v>859</v>
      </c>
      <c r="T89" s="119" t="s">
        <v>207</v>
      </c>
      <c r="U89" s="122"/>
      <c r="V89" s="119"/>
      <c r="W89" s="122" t="s">
        <v>860</v>
      </c>
      <c r="X89" s="119" t="s">
        <v>266</v>
      </c>
      <c r="Y89" s="122"/>
      <c r="Z89" s="119"/>
    </row>
    <row r="90" customHeight="1" spans="1:26">
      <c r="A90" s="137"/>
      <c r="B90" s="119" t="s">
        <v>861</v>
      </c>
      <c r="C90" s="127" t="s">
        <v>862</v>
      </c>
      <c r="D90" s="119" t="s">
        <v>859</v>
      </c>
      <c r="E90" s="121" t="s">
        <v>863</v>
      </c>
      <c r="F90" s="119" t="s">
        <v>854</v>
      </c>
      <c r="G90" s="122" t="s">
        <v>864</v>
      </c>
      <c r="H90" s="119" t="s">
        <v>34</v>
      </c>
      <c r="I90" s="122" t="s">
        <v>692</v>
      </c>
      <c r="J90" s="119" t="s">
        <v>378</v>
      </c>
      <c r="K90" s="123">
        <v>0.8</v>
      </c>
      <c r="L90" s="119" t="s">
        <v>37</v>
      </c>
      <c r="M90" s="122">
        <v>0</v>
      </c>
      <c r="N90" s="119" t="s">
        <v>38</v>
      </c>
      <c r="O90" s="122" t="s">
        <v>840</v>
      </c>
      <c r="P90" s="119" t="s">
        <v>37</v>
      </c>
      <c r="Q90" s="123">
        <v>1</v>
      </c>
      <c r="R90" s="119"/>
      <c r="S90" s="122" t="s">
        <v>46</v>
      </c>
      <c r="T90" s="119" t="s">
        <v>865</v>
      </c>
      <c r="U90" s="122"/>
      <c r="V90" s="119"/>
      <c r="W90" s="122" t="s">
        <v>866</v>
      </c>
      <c r="X90" s="119" t="s">
        <v>266</v>
      </c>
      <c r="Y90" s="122" t="s">
        <v>867</v>
      </c>
      <c r="Z90" s="119" t="s">
        <v>843</v>
      </c>
    </row>
    <row r="91" customHeight="1" spans="1:26">
      <c r="A91" s="140"/>
      <c r="B91" s="119" t="s">
        <v>861</v>
      </c>
      <c r="C91" s="127" t="s">
        <v>835</v>
      </c>
      <c r="D91" s="128" t="s">
        <v>852</v>
      </c>
      <c r="E91" s="121" t="s">
        <v>863</v>
      </c>
      <c r="F91" s="119" t="s">
        <v>854</v>
      </c>
      <c r="G91" s="122" t="s">
        <v>864</v>
      </c>
      <c r="H91" s="131" t="s">
        <v>34</v>
      </c>
      <c r="I91" s="122" t="s">
        <v>166</v>
      </c>
      <c r="J91" s="119" t="s">
        <v>36</v>
      </c>
      <c r="K91" s="129">
        <v>0.8</v>
      </c>
      <c r="L91" s="119" t="s">
        <v>37</v>
      </c>
      <c r="M91" s="122">
        <v>0</v>
      </c>
      <c r="N91" s="119" t="s">
        <v>38</v>
      </c>
      <c r="O91" s="122" t="s">
        <v>858</v>
      </c>
      <c r="P91" s="119" t="s">
        <v>37</v>
      </c>
      <c r="Q91" s="129">
        <v>0.7</v>
      </c>
      <c r="R91" s="119"/>
      <c r="S91" s="122" t="s">
        <v>859</v>
      </c>
      <c r="T91" s="119" t="s">
        <v>865</v>
      </c>
      <c r="U91" s="122"/>
      <c r="V91" s="119"/>
      <c r="W91" s="122" t="s">
        <v>860</v>
      </c>
      <c r="X91" s="119" t="s">
        <v>266</v>
      </c>
      <c r="Y91" s="122" t="s">
        <v>868</v>
      </c>
      <c r="Z91" s="119"/>
    </row>
    <row r="92" customHeight="1" spans="1:26">
      <c r="A92" s="118" t="s">
        <v>869</v>
      </c>
      <c r="B92" s="126" t="s">
        <v>870</v>
      </c>
      <c r="C92" s="144" t="s">
        <v>871</v>
      </c>
      <c r="D92" s="128" t="s">
        <v>871</v>
      </c>
      <c r="E92" s="121"/>
      <c r="F92" s="119"/>
      <c r="G92" s="122"/>
      <c r="H92" s="131" t="s">
        <v>34</v>
      </c>
      <c r="I92" s="122"/>
      <c r="J92" s="119" t="s">
        <v>36</v>
      </c>
      <c r="K92" s="129">
        <v>0.8</v>
      </c>
      <c r="L92" s="119" t="s">
        <v>37</v>
      </c>
      <c r="M92" s="122" t="s">
        <v>36</v>
      </c>
      <c r="N92" s="119" t="s">
        <v>38</v>
      </c>
      <c r="O92" s="122" t="s">
        <v>872</v>
      </c>
      <c r="P92" s="119" t="s">
        <v>37</v>
      </c>
      <c r="Q92" s="129">
        <v>0.8</v>
      </c>
      <c r="R92" s="119"/>
      <c r="S92" s="122" t="s">
        <v>87</v>
      </c>
      <c r="T92" s="119" t="s">
        <v>873</v>
      </c>
      <c r="U92" s="122"/>
      <c r="V92" s="119" t="s">
        <v>874</v>
      </c>
      <c r="W92" s="122" t="s">
        <v>875</v>
      </c>
      <c r="X92" s="119" t="s">
        <v>876</v>
      </c>
      <c r="Y92" s="122"/>
      <c r="Z92" s="119"/>
    </row>
    <row r="93" customHeight="1" spans="1:26">
      <c r="A93" s="118" t="s">
        <v>877</v>
      </c>
      <c r="B93" s="126" t="s">
        <v>878</v>
      </c>
      <c r="C93" s="127" t="s">
        <v>879</v>
      </c>
      <c r="D93" s="128" t="s">
        <v>880</v>
      </c>
      <c r="E93" s="121">
        <v>44045</v>
      </c>
      <c r="F93" s="119" t="s">
        <v>155</v>
      </c>
      <c r="G93" s="122" t="s">
        <v>881</v>
      </c>
      <c r="H93" s="131" t="s">
        <v>34</v>
      </c>
      <c r="I93" s="122" t="s">
        <v>882</v>
      </c>
      <c r="J93" s="119" t="s">
        <v>134</v>
      </c>
      <c r="K93" s="129" t="s">
        <v>883</v>
      </c>
      <c r="L93" s="119" t="s">
        <v>37</v>
      </c>
      <c r="M93" s="122" t="s">
        <v>884</v>
      </c>
      <c r="N93" s="119" t="s">
        <v>885</v>
      </c>
      <c r="O93" s="122" t="s">
        <v>886</v>
      </c>
      <c r="P93" s="119" t="s">
        <v>37</v>
      </c>
      <c r="Q93" s="122" t="s">
        <v>887</v>
      </c>
      <c r="R93" s="119" t="s">
        <v>888</v>
      </c>
      <c r="S93" s="122" t="s">
        <v>87</v>
      </c>
      <c r="T93" s="119" t="s">
        <v>889</v>
      </c>
      <c r="U93" s="122"/>
      <c r="V93" s="119"/>
      <c r="W93" s="122" t="s">
        <v>890</v>
      </c>
      <c r="X93" s="119"/>
      <c r="Y93" s="122"/>
      <c r="Z93" s="119"/>
    </row>
    <row r="94" customHeight="1" spans="1:26">
      <c r="A94" s="118"/>
      <c r="B94" s="126"/>
      <c r="C94" s="144" t="s">
        <v>891</v>
      </c>
      <c r="D94" s="128" t="s">
        <v>892</v>
      </c>
      <c r="E94" s="121" t="s">
        <v>893</v>
      </c>
      <c r="F94" s="119" t="s">
        <v>82</v>
      </c>
      <c r="G94" s="122" t="s">
        <v>894</v>
      </c>
      <c r="H94" s="131" t="s">
        <v>34</v>
      </c>
      <c r="I94" s="122" t="s">
        <v>84</v>
      </c>
      <c r="J94" s="119" t="s">
        <v>36</v>
      </c>
      <c r="K94" s="129">
        <v>0.8</v>
      </c>
      <c r="L94" s="119" t="s">
        <v>895</v>
      </c>
      <c r="M94" s="122">
        <v>0</v>
      </c>
      <c r="N94" s="119" t="s">
        <v>134</v>
      </c>
      <c r="O94" s="122" t="s">
        <v>134</v>
      </c>
      <c r="P94" s="119" t="s">
        <v>134</v>
      </c>
      <c r="Q94" s="122" t="s">
        <v>134</v>
      </c>
      <c r="R94" s="119" t="s">
        <v>134</v>
      </c>
      <c r="S94" s="122" t="s">
        <v>896</v>
      </c>
      <c r="T94" s="119" t="s">
        <v>207</v>
      </c>
      <c r="U94" s="122"/>
      <c r="V94" s="119" t="s">
        <v>897</v>
      </c>
      <c r="W94" s="122" t="s">
        <v>898</v>
      </c>
      <c r="X94" s="119" t="s">
        <v>896</v>
      </c>
      <c r="Y94" s="122" t="s">
        <v>899</v>
      </c>
      <c r="Z94" s="119" t="s">
        <v>900</v>
      </c>
    </row>
    <row r="95" customHeight="1" spans="1:26">
      <c r="A95" s="118"/>
      <c r="B95" s="126"/>
      <c r="C95" s="144" t="s">
        <v>901</v>
      </c>
      <c r="D95" s="128" t="s">
        <v>892</v>
      </c>
      <c r="E95" s="121" t="s">
        <v>902</v>
      </c>
      <c r="F95" s="119" t="s">
        <v>82</v>
      </c>
      <c r="G95" s="122" t="s">
        <v>894</v>
      </c>
      <c r="H95" s="131" t="s">
        <v>34</v>
      </c>
      <c r="I95" s="122" t="s">
        <v>84</v>
      </c>
      <c r="J95" s="119"/>
      <c r="K95" s="129"/>
      <c r="L95" s="119"/>
      <c r="M95" s="122"/>
      <c r="N95" s="119" t="s">
        <v>885</v>
      </c>
      <c r="O95" s="122" t="s">
        <v>886</v>
      </c>
      <c r="P95" s="119"/>
      <c r="Q95" s="122"/>
      <c r="R95" s="119"/>
      <c r="S95" s="122" t="s">
        <v>896</v>
      </c>
      <c r="T95" s="119"/>
      <c r="U95" s="122"/>
      <c r="V95" s="119" t="s">
        <v>897</v>
      </c>
      <c r="W95" s="122" t="s">
        <v>898</v>
      </c>
      <c r="X95" s="119" t="s">
        <v>896</v>
      </c>
      <c r="Y95" s="122" t="s">
        <v>899</v>
      </c>
      <c r="Z95" s="119" t="s">
        <v>900</v>
      </c>
    </row>
    <row r="96" customHeight="1" spans="1:26">
      <c r="A96" s="118" t="s">
        <v>903</v>
      </c>
      <c r="B96" s="126" t="s">
        <v>904</v>
      </c>
      <c r="C96" s="127" t="s">
        <v>905</v>
      </c>
      <c r="D96" s="128" t="s">
        <v>905</v>
      </c>
      <c r="E96" s="121">
        <v>44049</v>
      </c>
      <c r="F96" s="119" t="s">
        <v>310</v>
      </c>
      <c r="G96" s="122" t="s">
        <v>906</v>
      </c>
      <c r="H96" s="131" t="s">
        <v>34</v>
      </c>
      <c r="I96" s="122" t="s">
        <v>166</v>
      </c>
      <c r="J96" s="119" t="s">
        <v>907</v>
      </c>
      <c r="K96" s="129" t="s">
        <v>908</v>
      </c>
      <c r="L96" s="119" t="s">
        <v>909</v>
      </c>
      <c r="M96" s="122" t="s">
        <v>36</v>
      </c>
      <c r="N96" s="119" t="s">
        <v>249</v>
      </c>
      <c r="O96" s="122" t="s">
        <v>910</v>
      </c>
      <c r="P96" s="119" t="s">
        <v>37</v>
      </c>
      <c r="Q96" s="129">
        <v>0.8</v>
      </c>
      <c r="R96" s="119" t="s">
        <v>911</v>
      </c>
      <c r="S96" s="122" t="s">
        <v>87</v>
      </c>
      <c r="T96" s="119" t="s">
        <v>912</v>
      </c>
      <c r="U96" s="122"/>
      <c r="V96" s="119"/>
      <c r="W96" s="122" t="s">
        <v>913</v>
      </c>
      <c r="X96" s="119" t="s">
        <v>914</v>
      </c>
      <c r="Y96" s="122" t="s">
        <v>915</v>
      </c>
      <c r="Z96" s="119" t="s">
        <v>916</v>
      </c>
    </row>
    <row r="97" customHeight="1" spans="1:26">
      <c r="A97" s="118"/>
      <c r="B97" s="119" t="s">
        <v>917</v>
      </c>
      <c r="C97" s="127" t="s">
        <v>918</v>
      </c>
      <c r="D97" s="128" t="s">
        <v>918</v>
      </c>
      <c r="E97" s="121">
        <v>44075</v>
      </c>
      <c r="F97" s="119" t="s">
        <v>310</v>
      </c>
      <c r="G97" s="122" t="s">
        <v>906</v>
      </c>
      <c r="H97" s="131" t="s">
        <v>34</v>
      </c>
      <c r="I97" s="122" t="s">
        <v>84</v>
      </c>
      <c r="J97" s="119" t="s">
        <v>36</v>
      </c>
      <c r="K97" s="129">
        <v>0.7</v>
      </c>
      <c r="L97" s="119" t="s">
        <v>37</v>
      </c>
      <c r="M97" s="122" t="s">
        <v>36</v>
      </c>
      <c r="N97" s="119" t="s">
        <v>38</v>
      </c>
      <c r="O97" s="122" t="s">
        <v>919</v>
      </c>
      <c r="P97" s="119" t="s">
        <v>37</v>
      </c>
      <c r="Q97" s="129">
        <v>0.7</v>
      </c>
      <c r="R97" s="119"/>
      <c r="S97" s="122" t="s">
        <v>87</v>
      </c>
      <c r="T97" s="119" t="s">
        <v>158</v>
      </c>
      <c r="U97" s="122"/>
      <c r="V97" s="119"/>
      <c r="W97" s="122" t="s">
        <v>920</v>
      </c>
      <c r="X97" s="119" t="s">
        <v>921</v>
      </c>
      <c r="Y97" s="122" t="s">
        <v>922</v>
      </c>
      <c r="Z97" s="119" t="s">
        <v>923</v>
      </c>
    </row>
    <row r="98" customHeight="1" spans="1:26">
      <c r="A98" s="147" t="s">
        <v>924</v>
      </c>
      <c r="B98" s="148" t="s">
        <v>925</v>
      </c>
      <c r="C98" s="149" t="s">
        <v>926</v>
      </c>
      <c r="D98" s="150" t="s">
        <v>926</v>
      </c>
      <c r="E98" s="151" t="s">
        <v>927</v>
      </c>
      <c r="F98" s="131" t="s">
        <v>590</v>
      </c>
      <c r="G98" s="152" t="s">
        <v>928</v>
      </c>
      <c r="H98" s="153" t="s">
        <v>34</v>
      </c>
      <c r="I98" s="152" t="s">
        <v>929</v>
      </c>
      <c r="J98" s="154" t="s">
        <v>378</v>
      </c>
      <c r="K98" s="155">
        <v>0.8</v>
      </c>
      <c r="L98" s="154"/>
      <c r="M98" s="152" t="s">
        <v>378</v>
      </c>
      <c r="N98" s="154" t="s">
        <v>38</v>
      </c>
      <c r="O98" s="152" t="s">
        <v>930</v>
      </c>
      <c r="P98" s="154" t="s">
        <v>378</v>
      </c>
      <c r="Q98" s="155" t="s">
        <v>931</v>
      </c>
      <c r="R98" s="154"/>
      <c r="S98" s="152" t="s">
        <v>87</v>
      </c>
      <c r="T98" s="154" t="s">
        <v>190</v>
      </c>
      <c r="U98" s="152"/>
      <c r="V98" s="154" t="s">
        <v>932</v>
      </c>
      <c r="W98" s="152" t="s">
        <v>933</v>
      </c>
      <c r="X98" s="154" t="s">
        <v>299</v>
      </c>
      <c r="Y98" s="152" t="s">
        <v>934</v>
      </c>
      <c r="Z98" s="154" t="s">
        <v>935</v>
      </c>
    </row>
    <row r="99" customHeight="1" spans="1:26">
      <c r="A99" s="136" t="s">
        <v>936</v>
      </c>
      <c r="B99" s="119" t="s">
        <v>937</v>
      </c>
      <c r="C99" s="127" t="s">
        <v>938</v>
      </c>
      <c r="D99" s="128" t="s">
        <v>939</v>
      </c>
      <c r="E99" s="121" t="s">
        <v>940</v>
      </c>
      <c r="F99" s="119" t="s">
        <v>82</v>
      </c>
      <c r="G99" s="122" t="s">
        <v>941</v>
      </c>
      <c r="H99" s="131" t="s">
        <v>34</v>
      </c>
      <c r="I99" s="122" t="s">
        <v>942</v>
      </c>
      <c r="J99" s="119" t="s">
        <v>213</v>
      </c>
      <c r="K99" s="129">
        <v>0.8</v>
      </c>
      <c r="L99" s="119" t="s">
        <v>37</v>
      </c>
      <c r="M99" s="122" t="s">
        <v>213</v>
      </c>
      <c r="N99" s="119" t="s">
        <v>38</v>
      </c>
      <c r="O99" s="122" t="s">
        <v>943</v>
      </c>
      <c r="P99" s="119" t="s">
        <v>37</v>
      </c>
      <c r="Q99" s="129">
        <v>0.8</v>
      </c>
      <c r="R99" s="119"/>
      <c r="S99" s="122" t="s">
        <v>87</v>
      </c>
      <c r="T99" s="119" t="s">
        <v>944</v>
      </c>
      <c r="U99" s="122"/>
      <c r="V99" s="119" t="s">
        <v>945</v>
      </c>
      <c r="W99" s="122" t="s">
        <v>946</v>
      </c>
      <c r="X99" s="119"/>
      <c r="Y99" s="122" t="s">
        <v>947</v>
      </c>
      <c r="Z99" s="119" t="s">
        <v>948</v>
      </c>
    </row>
    <row r="100" customHeight="1" spans="1:26">
      <c r="A100" s="137"/>
      <c r="B100" s="119"/>
      <c r="C100" s="127"/>
      <c r="D100" s="128" t="s">
        <v>949</v>
      </c>
      <c r="E100" s="121" t="s">
        <v>940</v>
      </c>
      <c r="F100" s="119" t="s">
        <v>82</v>
      </c>
      <c r="G100" s="122" t="s">
        <v>941</v>
      </c>
      <c r="H100" s="131" t="s">
        <v>34</v>
      </c>
      <c r="I100" s="122" t="s">
        <v>942</v>
      </c>
      <c r="J100" s="119" t="s">
        <v>213</v>
      </c>
      <c r="K100" s="129">
        <v>0.8</v>
      </c>
      <c r="L100" s="119" t="s">
        <v>43</v>
      </c>
      <c r="M100" s="122" t="s">
        <v>213</v>
      </c>
      <c r="N100" s="119" t="s">
        <v>38</v>
      </c>
      <c r="O100" s="122" t="s">
        <v>943</v>
      </c>
      <c r="P100" s="119" t="s">
        <v>43</v>
      </c>
      <c r="Q100" s="129">
        <v>0.8</v>
      </c>
      <c r="R100" s="119"/>
      <c r="S100" s="122" t="s">
        <v>87</v>
      </c>
      <c r="T100" s="119" t="s">
        <v>950</v>
      </c>
      <c r="U100" s="122"/>
      <c r="V100" s="119" t="s">
        <v>945</v>
      </c>
      <c r="W100" s="122" t="s">
        <v>946</v>
      </c>
      <c r="X100" s="119"/>
      <c r="Y100" s="122" t="s">
        <v>947</v>
      </c>
      <c r="Z100" s="119" t="s">
        <v>948</v>
      </c>
    </row>
    <row r="101" customHeight="1" spans="1:26">
      <c r="A101" s="137"/>
      <c r="B101" s="119" t="s">
        <v>951</v>
      </c>
      <c r="C101" s="127" t="s">
        <v>952</v>
      </c>
      <c r="D101" s="128" t="s">
        <v>952</v>
      </c>
      <c r="E101" s="121" t="s">
        <v>953</v>
      </c>
      <c r="F101" s="119" t="s">
        <v>82</v>
      </c>
      <c r="G101" s="122" t="s">
        <v>725</v>
      </c>
      <c r="H101" s="131" t="s">
        <v>34</v>
      </c>
      <c r="I101" s="122" t="s">
        <v>692</v>
      </c>
      <c r="J101" s="119" t="s">
        <v>36</v>
      </c>
      <c r="K101" s="129">
        <v>0.8</v>
      </c>
      <c r="L101" s="119" t="s">
        <v>37</v>
      </c>
      <c r="M101" s="122" t="s">
        <v>36</v>
      </c>
      <c r="N101" s="119"/>
      <c r="O101" s="122" t="s">
        <v>134</v>
      </c>
      <c r="P101" s="119" t="s">
        <v>762</v>
      </c>
      <c r="Q101" s="129">
        <v>0.8</v>
      </c>
      <c r="R101" s="119"/>
      <c r="S101" s="122" t="s">
        <v>87</v>
      </c>
      <c r="T101" s="119" t="s">
        <v>207</v>
      </c>
      <c r="U101" s="122"/>
      <c r="V101" s="119"/>
      <c r="W101" s="122" t="s">
        <v>954</v>
      </c>
      <c r="X101" s="119" t="s">
        <v>955</v>
      </c>
      <c r="Y101" s="146" t="s">
        <v>956</v>
      </c>
      <c r="Z101" s="119">
        <v>4001110702</v>
      </c>
    </row>
    <row r="102" customHeight="1" spans="1:26">
      <c r="A102" s="140"/>
      <c r="B102" s="148" t="s">
        <v>957</v>
      </c>
      <c r="C102" s="149" t="s">
        <v>958</v>
      </c>
      <c r="D102" s="150" t="s">
        <v>958</v>
      </c>
      <c r="E102" s="151" t="s">
        <v>497</v>
      </c>
      <c r="F102" s="154" t="s">
        <v>310</v>
      </c>
      <c r="G102" s="152" t="s">
        <v>959</v>
      </c>
      <c r="H102" s="153" t="s">
        <v>34</v>
      </c>
      <c r="I102" s="152" t="s">
        <v>147</v>
      </c>
      <c r="J102" s="154" t="s">
        <v>36</v>
      </c>
      <c r="K102" s="155">
        <v>0.75</v>
      </c>
      <c r="L102" s="154"/>
      <c r="M102" s="152" t="s">
        <v>960</v>
      </c>
      <c r="N102" s="154" t="s">
        <v>38</v>
      </c>
      <c r="O102" s="152" t="s">
        <v>961</v>
      </c>
      <c r="P102" s="154"/>
      <c r="Q102" s="155">
        <v>0.5</v>
      </c>
      <c r="R102" s="154"/>
      <c r="S102" s="152"/>
      <c r="T102" s="154" t="s">
        <v>136</v>
      </c>
      <c r="U102" s="152"/>
      <c r="V102" s="154"/>
      <c r="W102" s="152" t="s">
        <v>962</v>
      </c>
      <c r="X102" s="154" t="s">
        <v>963</v>
      </c>
      <c r="Y102" s="152" t="s">
        <v>964</v>
      </c>
      <c r="Z102" s="154" t="s">
        <v>965</v>
      </c>
    </row>
    <row r="103" customHeight="1" spans="1:26">
      <c r="A103" s="118" t="s">
        <v>966</v>
      </c>
      <c r="B103" s="126" t="s">
        <v>966</v>
      </c>
      <c r="C103" s="127" t="s">
        <v>967</v>
      </c>
      <c r="D103" s="128"/>
      <c r="E103" s="133">
        <v>42718</v>
      </c>
      <c r="F103" s="131"/>
      <c r="G103" s="133"/>
      <c r="H103" s="131"/>
      <c r="I103" s="122"/>
      <c r="J103" s="119"/>
      <c r="K103" s="122"/>
      <c r="L103" s="119"/>
      <c r="M103" s="122"/>
      <c r="N103" s="119"/>
      <c r="O103" s="122"/>
      <c r="P103" s="119"/>
      <c r="Q103" s="122"/>
      <c r="R103" s="119"/>
      <c r="S103" s="122"/>
      <c r="T103" s="119"/>
      <c r="U103" s="122"/>
      <c r="V103" s="119"/>
      <c r="W103" s="122" t="s">
        <v>968</v>
      </c>
      <c r="X103" s="119" t="s">
        <v>969</v>
      </c>
      <c r="Y103" s="122"/>
      <c r="Z103" s="119"/>
    </row>
  </sheetData>
  <autoFilter xmlns:etc="http://www.wps.cn/officeDocument/2017/etCustomData" ref="A3:Z103" etc:filterBottomFollowUsedRange="0">
    <extLst/>
  </autoFilter>
  <mergeCells count="54">
    <mergeCell ref="J1:R1"/>
    <mergeCell ref="J2:L2"/>
    <mergeCell ref="M2:R2"/>
    <mergeCell ref="A1:A3"/>
    <mergeCell ref="A4:A6"/>
    <mergeCell ref="A7:A8"/>
    <mergeCell ref="A9:A10"/>
    <mergeCell ref="A12:A21"/>
    <mergeCell ref="A22:A30"/>
    <mergeCell ref="A31:A37"/>
    <mergeCell ref="A38:A53"/>
    <mergeCell ref="A55:A61"/>
    <mergeCell ref="A62:A63"/>
    <mergeCell ref="A64:A68"/>
    <mergeCell ref="A69:A75"/>
    <mergeCell ref="A77:A84"/>
    <mergeCell ref="A87:A91"/>
    <mergeCell ref="A93:A95"/>
    <mergeCell ref="A96:A97"/>
    <mergeCell ref="A99:A102"/>
    <mergeCell ref="B1:B3"/>
    <mergeCell ref="B4:B6"/>
    <mergeCell ref="B7:B8"/>
    <mergeCell ref="B9:B10"/>
    <mergeCell ref="B15:B16"/>
    <mergeCell ref="B25:B27"/>
    <mergeCell ref="B32:B33"/>
    <mergeCell ref="B38:B39"/>
    <mergeCell ref="B41:B42"/>
    <mergeCell ref="B46:B47"/>
    <mergeCell ref="B60:B61"/>
    <mergeCell ref="B65:B66"/>
    <mergeCell ref="B67:B68"/>
    <mergeCell ref="B69:B71"/>
    <mergeCell ref="B77:B78"/>
    <mergeCell ref="B93:B95"/>
    <mergeCell ref="B99:B100"/>
    <mergeCell ref="C1:C3"/>
    <mergeCell ref="C60:C61"/>
    <mergeCell ref="C99:C100"/>
    <mergeCell ref="D1:D3"/>
    <mergeCell ref="D41:D42"/>
    <mergeCell ref="E1:E3"/>
    <mergeCell ref="F1:F3"/>
    <mergeCell ref="G1:G3"/>
    <mergeCell ref="H1:H3"/>
    <mergeCell ref="I1:I2"/>
    <mergeCell ref="U1:U3"/>
    <mergeCell ref="U41:U42"/>
    <mergeCell ref="V1:V3"/>
    <mergeCell ref="Y1:Y3"/>
    <mergeCell ref="Z1:Z3"/>
    <mergeCell ref="S1:T2"/>
    <mergeCell ref="W1:X2"/>
  </mergeCells>
  <hyperlinks>
    <hyperlink ref="C31" r:id="rId1" display="合惠保"/>
    <hyperlink ref="C37" r:id="rId2" display="惠民保（APP惠民保）"/>
    <hyperlink ref="C93" r:id="rId3" location="/production-information" display="海南乐城特药险"/>
    <hyperlink ref="C96" r:id="rId4" display="惠桂保"/>
    <hyperlink ref="C51" r:id="rId5" location="/index?shareFrom=&amp;shareCode=&amp;t=1601106385109" display="潮州市民保"/>
    <hyperlink ref="C46" r:id="rId6" location="/index?shareFrom=&amp;shareCode=&amp;t=1601106495844" display="东莞市民保"/>
    <hyperlink ref="C45" r:id="rId7" display="惠州惠民保"/>
    <hyperlink ref="C38" r:id="rId8" display="广州惠医保"/>
    <hyperlink ref="C41" r:id="rId9" display="深圳重特大疾病补充医疗保险"/>
    <hyperlink ref="C42" r:id="rId10" location="/inform" display="深圳专属医疗险"/>
    <hyperlink ref="C43" r:id="rId11" display="平安佛医保"/>
    <hyperlink ref="C22" r:id="rId12" display="杭州市民保"/>
    <hyperlink ref="C25" r:id="rId13" display="甬惠保"/>
    <hyperlink ref="C28" r:id="rId14" display="惠医保"/>
    <hyperlink ref="C29" r:id="rId15" display="惠嘉保"/>
    <hyperlink ref="C97" r:id="rId16" location="/insurance/g2c/detail" display="桂林惠民保"/>
    <hyperlink ref="C76" r:id="rId17" display="宁惠保"/>
    <hyperlink ref="C77" r:id="rId18" location="/productesciptioninsurepage?cityCode=430100&amp;tempToken=e2d15915-6af2-449d-8cb8-ac1cc799c1a2" display="星惠保"/>
    <hyperlink ref="C103" r:id="rId19" display="E保无忧（商业保险）"/>
    <hyperlink ref="C12" r:id="rId20" display="惠民健康保"/>
    <hyperlink ref="C13" r:id="rId21" display="苏惠保"/>
    <hyperlink ref="C14" r:id="rId22" display="连惠保"/>
    <hyperlink ref="C15" r:id="rId23" display="盐城市民保"/>
    <hyperlink ref="C55" r:id="rId24" display="蓉惠保"/>
    <hyperlink ref="C59" r:id="rId25" display="惠民保"/>
    <hyperlink ref="C57" r:id="rId26" display="贡惠保"/>
    <hyperlink ref="C65" r:id="rId26" display="福惠保"/>
    <hyperlink ref="C66" r:id="rId27" location="/insurance/g2c/detail" display="榕城保"/>
    <hyperlink ref="C68" r:id="rId28" display="鹭惠保"/>
    <hyperlink ref="C72" r:id="rId29" display="淄博齐惠保"/>
    <hyperlink ref="C62" r:id="rId30" display="贵保宝"/>
    <hyperlink ref="C21" r:id="rId31" display="泰惠保"/>
    <hyperlink ref="C19" r:id="rId32" location="/" display="南通全民保"/>
    <hyperlink ref="C63" r:id="rId33" display="遵惠保"/>
    <hyperlink ref="C44" r:id="rId34" display="珠海大爱无疆"/>
    <hyperlink ref="C79" r:id="rId35" location="/index?shareFrom=100000002020201012175048&amp;shareCode=D920101722160296700030&amp;t=1603291850277" display="全民保"/>
    <hyperlink ref="C23" r:id="rId36" display="浙丽保"/>
    <hyperlink ref="C10" r:id="rId37" display="津惠保"/>
    <hyperlink ref="D10" r:id="rId37" display="津惠保"/>
    <hyperlink ref="C18" r:id="rId38" display="惠徐保"/>
    <hyperlink ref="D18" r:id="rId38" display="惠徐保"/>
    <hyperlink ref="C11" r:id="rId39" display="i龙惠保"/>
    <hyperlink ref="D11" r:id="rId39" display="i龙惠保"/>
    <hyperlink ref="C75" r:id="rId40" display="齐鲁保"/>
    <hyperlink ref="C39" r:id="rId41" display="穗岁康"/>
    <hyperlink ref="C85" r:id="rId42" location="/hb-buy-detail" display="冀惠保"/>
    <hyperlink ref="C32" r:id="rId43" display="亳惠保"/>
    <hyperlink ref="C33" r:id="rId44" location="/?areaCode=3" display="亳州保"/>
    <hyperlink ref="C34" r:id="rId45" location="/area-insu-buy-detail" display="蚌惠保"/>
    <hyperlink ref="C35" r:id="rId46" display="惠皖保·阜阳"/>
    <hyperlink ref="C36" r:id="rId47" location="/security?c=2010000001oLFs0t-aOhcT4QAOl18YxR9wWhEA&amp;openId=1231076" display="皖惠保"/>
    <hyperlink ref="C40" r:id="rId48" display="河源市民保"/>
    <hyperlink ref="C87" r:id="rId49" display="豫健保"/>
    <hyperlink ref="D87" r:id="rId49" display="豫健保"/>
    <hyperlink ref="C90" r:id="rId50" display="豫健保许昌"/>
    <hyperlink ref="C88" r:id="rId51" location="/insurance/g2c/detail" display="焦作惠民保"/>
    <hyperlink ref="C20" r:id="rId52" display="惠镇保"/>
    <hyperlink ref="C17" r:id="rId53" display="惠宿保"/>
    <hyperlink ref="C16" r:id="rId54" display="盐城惠民保"/>
    <hyperlink ref="C74" r:id="rId55" display="烟台惠民保"/>
    <hyperlink ref="C60" r:id="rId56" display="德E保"/>
    <hyperlink ref="C8" r:id="rId57" location="/city?page_id=PAGEC160093870839612&amp;goods_code=G1600938675&amp;city_client=1&amp;channel=295&amp;fr=2602&amp;product_code=P1020200098&amp;__pl__=" display="360北京城惠宝"/>
    <hyperlink ref="C4" r:id="rId57" location="/city?page_id=PAGEC160042632733396&amp;goods_code=G1600249457&amp;city_client=1&amp;channel=276&amp;fr=2209&amp;product_code=P1020200098&amp;__pl__=https://h5.360huiminbao.cn/ztweb#/city?page_id=PAGEC160042632733396&amp;goods_code=G1600249457&amp;city_cl" display="360城惠保（全国版）"/>
    <hyperlink ref="D4" r:id="rId57" location="/city?page_id=PAGEC160042632733396&amp;goods_code=G1600249457&amp;city_client=1&amp;channel=276&amp;fr=2209&amp;product_code=P1020200098&amp;__pl__=https://h5.360huiminbao.cn/ztweb#/city?page_id=PAGEC160042632733396&amp;goods_code=G1600249457&amp;city_cl" display="360城惠保（全国版）"/>
    <hyperlink ref="C48" r:id="rId58" display="云浮惠民保"/>
    <hyperlink ref="C49" r:id="rId59" location="/index?shareFrom=&amp;shareCode=&amp;t=1606962804614" display="茂名市民保"/>
    <hyperlink ref="C52" r:id="rId60" location="/index?shareFrom=channel&amp;shareCode=Jygd&amp;t=1606962886429" display="揭阳市民保"/>
    <hyperlink ref="D52" r:id="rId60" location="/index?shareFrom=channel&amp;shareCode=Jygd&amp;t=1606962886429" display="揭阳市民保"/>
    <hyperlink ref="D23" r:id="rId61" display="浙丽保"/>
    <hyperlink ref="C53" r:id="rId62" display="揭阳市民保"/>
    <hyperlink ref="C26" r:id="rId63" location="/productesciptioninsurepage?cityCode=330200&amp;tempToken=323e2f26-1bd6-4c95-bf37-9f3444855090" display="工惠保"/>
    <hyperlink ref="C30" r:id="rId64" display="台州市民保"/>
    <hyperlink ref="D16" r:id="rId54" display="盐城惠民保"/>
    <hyperlink ref="D17" r:id="rId53" display="惠宿保"/>
    <hyperlink ref="D20" r:id="rId52" display="惠镇保"/>
    <hyperlink ref="C64" r:id="rId65" display="八闽保"/>
    <hyperlink ref="C101" r:id="rId66" display="惠锦保"/>
    <hyperlink ref="C99" r:id="rId67" display="大连工惠保"/>
    <hyperlink ref="D99" r:id="rId68" location="/insurance/g2c/dalianProductList" display="大连工惠保A"/>
    <hyperlink ref="D100" r:id="rId68" location="/insurance/g2c/dalianProductList" display="大连工惠保C"/>
    <hyperlink ref="C78" r:id="rId69" display="长沙民生保"/>
    <hyperlink ref="C69" r:id="rId70" display="齐鲁爱心保"/>
    <hyperlink ref="C73" r:id="rId71" display="烟惠保"/>
    <hyperlink ref="C70" r:id="rId72" display="山东民生保"/>
    <hyperlink ref="C71" r:id="rId73" location="/pages/faq/guarantee-details" display="鲁惠保"/>
    <hyperlink ref="D60" r:id="rId56" display="德E保A款"/>
    <hyperlink ref="D61" r:id="rId56" display="德E保B款"/>
    <hyperlink ref="C80" r:id="rId35" location="/index?shareFrom=channel&amp;shareCode=Hntraffic&amp;t=1607009591170" display="湖南全民保"/>
    <hyperlink ref="C81" r:id="rId74" display="邵阳惠民保"/>
    <hyperlink ref="C89" r:id="rId75" display="豫健保"/>
    <hyperlink ref="C83" r:id="rId76" display="湘惠保"/>
    <hyperlink ref="D83" r:id="rId76" display="湘惠保"/>
    <hyperlink ref="C84" r:id="rId77" display="神农保"/>
    <hyperlink ref="D84" r:id="rId77" display="神农保"/>
    <hyperlink ref="D32" r:id="rId43" display="亳惠保"/>
    <hyperlink ref="D33" r:id="rId44" location="/?areaCode=3" display="亳州保"/>
    <hyperlink ref="D35" r:id="rId46" display="惠皖保·阜阳"/>
    <hyperlink ref="D36" r:id="rId47" location="/security?c=2010000001oLFs0t-aOhcT4QAOl18YxR9wWhEA&amp;openId=1231076" display="皖惠保"/>
    <hyperlink ref="C5" r:id="rId78" display="全民普惠保"/>
    <hyperlink ref="C47" r:id="rId79" display="南粤全民保"/>
    <hyperlink ref="C27" r:id="rId80" location="/index?shareFrom=&amp;shareCode=&amp;t=1607046277089" display="宁波市民保"/>
    <hyperlink ref="C9" r:id="rId81" display="津城保"/>
    <hyperlink ref="C82" r:id="rId82" display="益惠保"/>
    <hyperlink ref="C102" r:id="rId83" display="沈阳全民保"/>
    <hyperlink ref="C7" r:id="rId84" display="京惠保"/>
    <hyperlink ref="D50" r:id="rId60" location="/index?shareFrom=channel&amp;shareCode=Jygd&amp;t=1606962886429" display="湛江市民保"/>
    <hyperlink ref="C50" r:id="rId85" location="/index?shareFrom=channel&amp;shareCode=ZJRB&amp;t=1607327847494" display="湛江市民保"/>
    <hyperlink ref="C67" r:id="rId86" display="厦门惠民保"/>
    <hyperlink ref="C94" r:id="rId87" location="/insurance/g2c/hainanProductList" display="海南惠琼保（A款）"/>
    <hyperlink ref="C95" r:id="rId87" location="/insurance/g2c/hainanProductList" display="海南惠琼保（B款）"/>
    <hyperlink ref="C92" r:id="rId57" location="/city?page_id=PAGE1600313947&amp;goods_code=G1600249457&amp;city_client=1&amp;channel=276&amp;fr=2213&amp;product_code=P1020200098&amp;__pl__=" display="360城惠保"/>
    <hyperlink ref="C98" r:id="rId88" display="春城惠民保"/>
    <hyperlink ref="D98" r:id="rId88" display="春城惠民保"/>
    <hyperlink ref="C6" r:id="rId89" display="58惠民保"/>
    <hyperlink ref="C58" r:id="rId90" location="/?proGroup" display="充惠保"/>
    <hyperlink ref="C56" r:id="rId24" display="惠蓉保"/>
    <hyperlink ref="D56" r:id="rId24" display="惠蓉保"/>
    <hyperlink ref="C54" r:id="rId91" display="渝惠保"/>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H178"/>
  <sheetViews>
    <sheetView tabSelected="1" workbookViewId="0">
      <pane xSplit="7" ySplit="2" topLeftCell="Z3" activePane="bottomRight" state="frozen"/>
      <selection/>
      <selection pane="topRight"/>
      <selection pane="bottomLeft"/>
      <selection pane="bottomRight" activeCell="S4" sqref="S4"/>
    </sheetView>
  </sheetViews>
  <sheetFormatPr defaultColWidth="9" defaultRowHeight="22" customHeight="1"/>
  <cols>
    <col min="1" max="1" width="8.25" style="22" customWidth="1"/>
    <col min="2" max="2" width="6.5" style="22" customWidth="1"/>
    <col min="3" max="3" width="8.66071428571429" style="22"/>
    <col min="4" max="4" width="6.91071428571429" style="22" customWidth="1"/>
    <col min="5" max="6" width="6.75" style="22" customWidth="1"/>
    <col min="7" max="7" width="9.66071428571429" style="22" customWidth="1"/>
    <col min="8" max="8" width="7.58035714285714" style="22" customWidth="1"/>
    <col min="9" max="11" width="8.66071428571429" style="22" customWidth="1"/>
    <col min="12" max="12" width="6.16071428571429" style="9" customWidth="1"/>
    <col min="13" max="15" width="8.66071428571429" style="22" customWidth="1"/>
    <col min="16" max="16" width="7.5" style="22" customWidth="1"/>
    <col min="17" max="17" width="6.66071428571429" style="22" customWidth="1"/>
    <col min="18" max="19" width="8.66071428571429" style="22" customWidth="1"/>
    <col min="20" max="20" width="7.5" style="22" customWidth="1"/>
    <col min="21" max="21" width="8.66071428571429" style="22" customWidth="1"/>
    <col min="22" max="22" width="8.66071428571429" style="23" customWidth="1"/>
    <col min="23" max="25" width="8.66071428571429" style="22" customWidth="1"/>
    <col min="26" max="26" width="22" style="22" customWidth="1"/>
    <col min="27" max="27" width="8.66071428571429" style="22" customWidth="1"/>
    <col min="28" max="28" width="19.4107142857143" style="22" customWidth="1"/>
    <col min="29" max="30" width="8.66071428571429" style="22" customWidth="1"/>
    <col min="31" max="31" width="7.58035714285714" style="22" customWidth="1"/>
    <col min="32" max="32" width="7.33035714285714" style="22" customWidth="1"/>
    <col min="33" max="33" width="19.25" style="22" customWidth="1"/>
    <col min="34" max="16384" width="8.66071428571429" style="22"/>
  </cols>
  <sheetData>
    <row r="1" s="8" customFormat="1" customHeight="1" spans="1:346">
      <c r="A1" s="24" t="s">
        <v>970</v>
      </c>
      <c r="B1" s="24"/>
      <c r="C1" s="24" t="s">
        <v>971</v>
      </c>
      <c r="D1" s="24"/>
      <c r="E1" s="24"/>
      <c r="F1" s="24"/>
      <c r="G1" s="24" t="s">
        <v>972</v>
      </c>
      <c r="H1" s="24"/>
      <c r="I1" s="24"/>
      <c r="J1" s="24"/>
      <c r="K1" s="24"/>
      <c r="L1" s="24"/>
      <c r="M1" s="24"/>
      <c r="N1" s="24"/>
      <c r="O1" s="24"/>
      <c r="P1" s="24"/>
      <c r="Q1" s="24"/>
      <c r="R1" s="24"/>
      <c r="S1" s="24" t="s">
        <v>973</v>
      </c>
      <c r="T1" s="24"/>
      <c r="U1" s="24"/>
      <c r="V1" s="24"/>
      <c r="W1" s="24"/>
      <c r="X1" s="24"/>
      <c r="Y1" s="24" t="s">
        <v>974</v>
      </c>
      <c r="Z1" s="24"/>
      <c r="AA1" s="24"/>
      <c r="AB1" s="24"/>
      <c r="AC1" s="24"/>
      <c r="AD1" s="24"/>
      <c r="AE1" s="24"/>
      <c r="AF1" s="24"/>
      <c r="AG1" s="24"/>
    </row>
    <row r="2" s="8" customFormat="1" customHeight="1" spans="1:346">
      <c r="A2" s="24" t="s">
        <v>975</v>
      </c>
      <c r="B2" s="24" t="s">
        <v>976</v>
      </c>
      <c r="C2" s="25" t="s">
        <v>971</v>
      </c>
      <c r="D2" s="25" t="s">
        <v>977</v>
      </c>
      <c r="E2" s="25" t="s">
        <v>0</v>
      </c>
      <c r="F2" s="25" t="s">
        <v>1</v>
      </c>
      <c r="G2" s="24" t="s">
        <v>978</v>
      </c>
      <c r="H2" s="24" t="s">
        <v>979</v>
      </c>
      <c r="I2" s="24" t="s">
        <v>980</v>
      </c>
      <c r="J2" s="24" t="s">
        <v>981</v>
      </c>
      <c r="K2" s="24" t="s">
        <v>982</v>
      </c>
      <c r="L2" s="24" t="s">
        <v>983</v>
      </c>
      <c r="M2" s="24" t="s">
        <v>984</v>
      </c>
      <c r="N2" s="24" t="s">
        <v>985</v>
      </c>
      <c r="O2" s="24" t="s">
        <v>986</v>
      </c>
      <c r="P2" s="24" t="s">
        <v>987</v>
      </c>
      <c r="Q2" s="24" t="s">
        <v>988</v>
      </c>
      <c r="R2" s="24" t="s">
        <v>989</v>
      </c>
      <c r="S2" s="24" t="s">
        <v>990</v>
      </c>
      <c r="T2" s="24" t="s">
        <v>991</v>
      </c>
      <c r="U2" s="24" t="s">
        <v>992</v>
      </c>
      <c r="V2" s="26" t="s">
        <v>993</v>
      </c>
      <c r="W2" s="27" t="s">
        <v>994</v>
      </c>
      <c r="X2" s="27" t="s">
        <v>995</v>
      </c>
      <c r="Y2" s="24" t="s">
        <v>996</v>
      </c>
      <c r="Z2" s="24" t="s">
        <v>997</v>
      </c>
      <c r="AA2" s="24" t="s">
        <v>998</v>
      </c>
      <c r="AB2" s="24" t="s">
        <v>999</v>
      </c>
      <c r="AC2" s="24" t="s">
        <v>1000</v>
      </c>
      <c r="AD2" s="24" t="s">
        <v>1001</v>
      </c>
      <c r="AE2" s="24" t="s">
        <v>1002</v>
      </c>
      <c r="AF2" s="24" t="s">
        <v>1003</v>
      </c>
      <c r="AG2" s="24" t="s">
        <v>1004</v>
      </c>
    </row>
    <row r="3" s="9" customFormat="1" customHeight="1" spans="1:346">
      <c r="A3" s="28" t="s">
        <v>1005</v>
      </c>
      <c r="B3" s="29" t="s">
        <v>1006</v>
      </c>
      <c r="C3" s="29" t="s">
        <v>1007</v>
      </c>
      <c r="D3" s="29" t="s">
        <v>134</v>
      </c>
      <c r="E3" s="30" t="s">
        <v>1008</v>
      </c>
      <c r="F3" s="31" t="s">
        <v>1009</v>
      </c>
      <c r="G3" s="31" t="s">
        <v>1010</v>
      </c>
      <c r="H3" s="32">
        <v>11</v>
      </c>
      <c r="I3" s="30">
        <v>2025</v>
      </c>
      <c r="J3" s="30" t="s">
        <v>1011</v>
      </c>
      <c r="K3" s="30" t="s">
        <v>1012</v>
      </c>
      <c r="L3" s="29">
        <v>1</v>
      </c>
      <c r="M3" s="29" t="s">
        <v>1013</v>
      </c>
      <c r="N3" s="29" t="s">
        <v>1014</v>
      </c>
      <c r="O3" s="29" t="s">
        <v>1015</v>
      </c>
      <c r="P3" s="29" t="s">
        <v>1016</v>
      </c>
      <c r="Q3" s="29" t="s">
        <v>1016</v>
      </c>
      <c r="R3" s="29" t="s">
        <v>1017</v>
      </c>
      <c r="S3" s="30"/>
      <c r="T3" s="29"/>
      <c r="U3" s="29"/>
      <c r="V3" s="33"/>
      <c r="W3" s="34"/>
      <c r="X3" s="34"/>
      <c r="Y3" s="29" t="s">
        <v>1018</v>
      </c>
      <c r="Z3" s="29" t="s">
        <v>1019</v>
      </c>
      <c r="AA3" s="29" t="s">
        <v>1020</v>
      </c>
      <c r="AB3" s="35" t="s">
        <v>1021</v>
      </c>
      <c r="AC3" s="29" t="s">
        <v>37</v>
      </c>
      <c r="AD3" s="29" t="s">
        <v>1018</v>
      </c>
      <c r="AE3" s="29" t="s">
        <v>1016</v>
      </c>
      <c r="AF3" s="29" t="s">
        <v>1016</v>
      </c>
      <c r="AG3" s="30"/>
      <c r="II3" s="12"/>
      <c r="KW3" s="10"/>
      <c r="KX3" s="10"/>
    </row>
    <row r="4" s="9" customFormat="1" customHeight="1" spans="1:346">
      <c r="A4" s="28" t="s">
        <v>1005</v>
      </c>
      <c r="B4" s="32" t="s">
        <v>1022</v>
      </c>
      <c r="C4" s="32" t="s">
        <v>1023</v>
      </c>
      <c r="D4" s="32" t="s">
        <v>134</v>
      </c>
      <c r="E4" s="30" t="s">
        <v>561</v>
      </c>
      <c r="F4" s="31" t="s">
        <v>1024</v>
      </c>
      <c r="G4" s="31" t="s">
        <v>1025</v>
      </c>
      <c r="H4" s="30">
        <v>11</v>
      </c>
      <c r="I4" s="32">
        <v>2022</v>
      </c>
      <c r="J4" s="36" t="s">
        <v>1026</v>
      </c>
      <c r="K4" s="36" t="s">
        <v>1012</v>
      </c>
      <c r="L4" s="32">
        <v>1</v>
      </c>
      <c r="M4" s="29" t="s">
        <v>1013</v>
      </c>
      <c r="N4" s="29" t="s">
        <v>1014</v>
      </c>
      <c r="O4" s="32">
        <v>79</v>
      </c>
      <c r="P4" s="32" t="s">
        <v>1016</v>
      </c>
      <c r="Q4" s="32" t="s">
        <v>1018</v>
      </c>
      <c r="R4" s="32" t="s">
        <v>1017</v>
      </c>
      <c r="S4" s="37">
        <v>121.4</v>
      </c>
      <c r="T4" s="38"/>
      <c r="U4" s="32"/>
      <c r="V4" s="33"/>
      <c r="W4" s="39"/>
      <c r="X4" s="39"/>
      <c r="Y4" s="32" t="s">
        <v>1018</v>
      </c>
      <c r="Z4" s="32" t="s">
        <v>1027</v>
      </c>
      <c r="AA4" s="32" t="s">
        <v>1028</v>
      </c>
      <c r="AB4" s="40">
        <v>0.2</v>
      </c>
      <c r="AC4" s="32" t="s">
        <v>1029</v>
      </c>
      <c r="AD4" s="32" t="s">
        <v>1030</v>
      </c>
      <c r="AE4" s="32"/>
      <c r="AF4" s="32"/>
      <c r="AG4" s="41" t="s">
        <v>1031</v>
      </c>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row>
    <row r="5" s="10" customFormat="1" customHeight="1" spans="1:346">
      <c r="A5" s="28" t="s">
        <v>1005</v>
      </c>
      <c r="B5" s="29" t="s">
        <v>1022</v>
      </c>
      <c r="C5" s="29" t="s">
        <v>1032</v>
      </c>
      <c r="D5" s="29" t="s">
        <v>134</v>
      </c>
      <c r="E5" s="29" t="s">
        <v>903</v>
      </c>
      <c r="F5" s="42" t="s">
        <v>1033</v>
      </c>
      <c r="G5" s="42" t="s">
        <v>1034</v>
      </c>
      <c r="H5" s="29">
        <v>11</v>
      </c>
      <c r="I5" s="29">
        <v>2022</v>
      </c>
      <c r="J5" s="29" t="s">
        <v>1035</v>
      </c>
      <c r="K5" s="29" t="s">
        <v>1036</v>
      </c>
      <c r="L5" s="29">
        <v>12</v>
      </c>
      <c r="M5" s="29" t="s">
        <v>1012</v>
      </c>
      <c r="N5" s="29" t="s">
        <v>1037</v>
      </c>
      <c r="O5" s="15" t="s">
        <v>1038</v>
      </c>
      <c r="P5" s="29" t="s">
        <v>1016</v>
      </c>
      <c r="Q5" s="29" t="s">
        <v>1018</v>
      </c>
      <c r="R5" s="29" t="s">
        <v>1039</v>
      </c>
      <c r="S5" s="29">
        <v>361.17</v>
      </c>
      <c r="T5" s="15"/>
      <c r="U5" s="15"/>
      <c r="V5" s="43"/>
      <c r="W5" s="15"/>
      <c r="X5" s="15"/>
      <c r="Y5" s="29" t="s">
        <v>1018</v>
      </c>
      <c r="Z5" s="29" t="s">
        <v>1040</v>
      </c>
      <c r="AA5" s="29" t="s">
        <v>422</v>
      </c>
      <c r="AB5" s="15" t="s">
        <v>1041</v>
      </c>
      <c r="AC5" s="29" t="s">
        <v>43</v>
      </c>
      <c r="AD5" s="29" t="s">
        <v>1018</v>
      </c>
      <c r="AE5" s="15"/>
      <c r="AF5" s="15"/>
      <c r="AG5" s="15"/>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c r="HS5" s="22"/>
      <c r="HT5" s="22"/>
      <c r="HU5" s="22"/>
      <c r="HV5" s="22"/>
      <c r="HW5" s="22"/>
      <c r="HX5" s="22"/>
      <c r="HY5" s="22"/>
      <c r="HZ5" s="22"/>
      <c r="IA5" s="22"/>
      <c r="IB5" s="22"/>
      <c r="IC5" s="22"/>
      <c r="ID5" s="22"/>
      <c r="IE5" s="22"/>
      <c r="IF5" s="22"/>
      <c r="IG5" s="22"/>
      <c r="IH5" s="22"/>
      <c r="II5" s="22"/>
      <c r="IJ5" s="22"/>
      <c r="IK5" s="22"/>
      <c r="IL5" s="22"/>
      <c r="IM5" s="22"/>
      <c r="IN5" s="22"/>
      <c r="IO5" s="22"/>
      <c r="IP5" s="22"/>
      <c r="IQ5" s="22"/>
      <c r="IR5" s="22"/>
      <c r="IS5" s="22"/>
      <c r="IT5" s="22"/>
      <c r="IU5" s="22"/>
      <c r="IV5" s="22"/>
      <c r="IW5" s="22"/>
      <c r="IX5" s="22"/>
      <c r="IY5" s="22"/>
      <c r="IZ5" s="22"/>
      <c r="JA5" s="22"/>
      <c r="JB5" s="22"/>
      <c r="JC5" s="22"/>
      <c r="JD5" s="22"/>
      <c r="JE5" s="22"/>
      <c r="JF5" s="22"/>
      <c r="JG5" s="22"/>
      <c r="JH5" s="22"/>
      <c r="JI5" s="22"/>
      <c r="JJ5" s="22"/>
      <c r="JK5" s="22"/>
      <c r="JL5" s="22"/>
      <c r="JM5" s="22"/>
      <c r="JN5" s="22"/>
      <c r="JO5" s="22"/>
      <c r="JP5" s="22"/>
      <c r="JQ5" s="22"/>
      <c r="JR5" s="22"/>
      <c r="JS5" s="22"/>
      <c r="JT5" s="22"/>
      <c r="JU5" s="22"/>
      <c r="JV5" s="22"/>
      <c r="JW5" s="22"/>
      <c r="JX5" s="22"/>
      <c r="JY5" s="22"/>
      <c r="JZ5" s="22"/>
      <c r="KA5" s="22"/>
      <c r="KB5" s="22"/>
      <c r="KC5" s="22"/>
      <c r="KD5" s="22"/>
      <c r="KE5" s="22"/>
      <c r="KF5" s="22"/>
      <c r="KG5" s="22"/>
      <c r="KH5" s="22"/>
      <c r="KI5" s="22"/>
      <c r="KJ5" s="22"/>
      <c r="KK5" s="22"/>
      <c r="KL5" s="22"/>
      <c r="KM5" s="22"/>
      <c r="KN5" s="22"/>
      <c r="KO5" s="22"/>
      <c r="KP5" s="22"/>
      <c r="KQ5" s="22"/>
      <c r="KR5" s="22"/>
      <c r="KS5" s="22"/>
      <c r="KT5" s="22"/>
      <c r="KU5" s="22"/>
      <c r="KV5" s="22"/>
      <c r="KW5" s="22"/>
      <c r="KX5" s="22"/>
      <c r="KY5" s="22"/>
    </row>
    <row r="6" s="11" customFormat="1" customHeight="1" spans="1:346">
      <c r="A6" s="28" t="s">
        <v>1005</v>
      </c>
      <c r="B6" s="32" t="s">
        <v>1022</v>
      </c>
      <c r="C6" s="32" t="s">
        <v>1032</v>
      </c>
      <c r="D6" s="32" t="s">
        <v>1042</v>
      </c>
      <c r="E6" s="32" t="s">
        <v>381</v>
      </c>
      <c r="F6" s="31" t="s">
        <v>474</v>
      </c>
      <c r="G6" s="31" t="s">
        <v>1043</v>
      </c>
      <c r="H6" s="32">
        <v>11</v>
      </c>
      <c r="I6" s="32">
        <v>2020</v>
      </c>
      <c r="J6" s="15" t="s">
        <v>1044</v>
      </c>
      <c r="K6" s="15" t="s">
        <v>1012</v>
      </c>
      <c r="L6" s="29">
        <v>1</v>
      </c>
      <c r="M6" s="29" t="s">
        <v>1013</v>
      </c>
      <c r="N6" s="29" t="s">
        <v>1014</v>
      </c>
      <c r="O6" s="32">
        <v>69</v>
      </c>
      <c r="P6" s="32" t="s">
        <v>1016</v>
      </c>
      <c r="Q6" s="32" t="s">
        <v>1018</v>
      </c>
      <c r="R6" s="32" t="s">
        <v>1039</v>
      </c>
      <c r="S6" s="32">
        <v>1043.7</v>
      </c>
      <c r="T6" s="32">
        <v>300</v>
      </c>
      <c r="U6" s="32" t="s">
        <v>1045</v>
      </c>
      <c r="V6" s="33">
        <f>T6/S6</f>
        <v>0.287438919229664</v>
      </c>
      <c r="W6" s="39"/>
      <c r="X6" s="39"/>
      <c r="Y6" s="32" t="s">
        <v>1016</v>
      </c>
      <c r="Z6" s="44" t="s">
        <v>1046</v>
      </c>
      <c r="AA6" s="44" t="s">
        <v>1046</v>
      </c>
      <c r="AB6" s="44" t="s">
        <v>1046</v>
      </c>
      <c r="AC6" s="44" t="s">
        <v>1046</v>
      </c>
      <c r="AD6" s="44" t="s">
        <v>1046</v>
      </c>
      <c r="AE6" s="44"/>
      <c r="AF6" s="44"/>
      <c r="AG6" s="44" t="s">
        <v>1046</v>
      </c>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J6" s="10"/>
      <c r="IK6" s="10"/>
      <c r="IL6" s="10"/>
      <c r="IM6" s="10"/>
      <c r="IN6" s="10"/>
      <c r="IO6" s="10"/>
      <c r="IP6" s="10"/>
      <c r="IQ6" s="10"/>
      <c r="IR6" s="10"/>
      <c r="IS6" s="10"/>
      <c r="IT6" s="10"/>
      <c r="IU6" s="10"/>
      <c r="IV6" s="10"/>
      <c r="IW6" s="10"/>
      <c r="IX6" s="10"/>
      <c r="IY6" s="10"/>
      <c r="IZ6" s="10"/>
      <c r="JA6" s="10"/>
      <c r="JB6" s="10"/>
      <c r="JC6" s="10"/>
      <c r="JD6" s="10"/>
      <c r="JE6" s="10"/>
      <c r="JF6" s="10"/>
      <c r="JG6" s="10"/>
      <c r="JH6" s="10"/>
      <c r="JI6" s="10"/>
      <c r="JJ6" s="10"/>
      <c r="JK6" s="10"/>
      <c r="JL6" s="10"/>
      <c r="JM6" s="10"/>
      <c r="JN6" s="10"/>
      <c r="JO6" s="10"/>
      <c r="JP6" s="10"/>
      <c r="JQ6" s="10"/>
      <c r="JR6" s="10"/>
      <c r="JS6" s="10"/>
      <c r="JT6" s="10"/>
      <c r="JU6" s="10"/>
      <c r="JV6" s="10"/>
      <c r="JW6" s="10"/>
      <c r="JX6" s="10"/>
      <c r="JY6" s="10"/>
      <c r="JZ6" s="10"/>
      <c r="KA6" s="10"/>
      <c r="KB6" s="10"/>
      <c r="KC6" s="10"/>
      <c r="KD6" s="10"/>
      <c r="KE6" s="10"/>
      <c r="KF6" s="10"/>
      <c r="KG6" s="10"/>
      <c r="KH6" s="10"/>
      <c r="KI6" s="10"/>
      <c r="KJ6" s="10"/>
      <c r="KK6" s="10"/>
      <c r="KL6" s="10"/>
      <c r="KM6" s="10"/>
      <c r="KN6" s="10"/>
      <c r="KO6" s="10"/>
      <c r="KP6" s="10"/>
      <c r="KQ6" s="10"/>
      <c r="KR6" s="10"/>
      <c r="KS6" s="10"/>
      <c r="KT6" s="10"/>
      <c r="KU6" s="10"/>
      <c r="KV6" s="10"/>
      <c r="KW6" s="9"/>
      <c r="KX6" s="9"/>
    </row>
    <row r="7" s="10" customFormat="1" customHeight="1" spans="1:346">
      <c r="A7" s="28" t="s">
        <v>1005</v>
      </c>
      <c r="B7" s="32" t="s">
        <v>1022</v>
      </c>
      <c r="C7" s="30" t="s">
        <v>1023</v>
      </c>
      <c r="D7" s="30" t="s">
        <v>1047</v>
      </c>
      <c r="E7" s="30" t="s">
        <v>1048</v>
      </c>
      <c r="F7" s="31" t="s">
        <v>1046</v>
      </c>
      <c r="G7" s="31" t="s">
        <v>1049</v>
      </c>
      <c r="H7" s="29">
        <v>12</v>
      </c>
      <c r="I7" s="29">
        <v>2025</v>
      </c>
      <c r="J7" s="45" t="s">
        <v>1050</v>
      </c>
      <c r="K7" s="45" t="s">
        <v>1051</v>
      </c>
      <c r="L7" s="30">
        <v>1</v>
      </c>
      <c r="M7" s="29" t="s">
        <v>1013</v>
      </c>
      <c r="N7" s="29" t="s">
        <v>1014</v>
      </c>
      <c r="O7" s="29" t="s">
        <v>1052</v>
      </c>
      <c r="P7" s="29" t="s">
        <v>1018</v>
      </c>
      <c r="Q7" s="29" t="s">
        <v>1016</v>
      </c>
      <c r="R7" s="29" t="s">
        <v>1039</v>
      </c>
      <c r="S7" s="30">
        <v>360.51</v>
      </c>
      <c r="T7" s="29"/>
      <c r="U7" s="29"/>
      <c r="V7" s="46"/>
      <c r="W7" s="29"/>
      <c r="X7" s="29"/>
      <c r="Y7" s="30" t="s">
        <v>1018</v>
      </c>
      <c r="Z7" s="30" t="s">
        <v>1053</v>
      </c>
      <c r="AA7" s="47" t="s">
        <v>1054</v>
      </c>
      <c r="AB7" s="48" t="s">
        <v>1055</v>
      </c>
      <c r="AC7" s="47" t="s">
        <v>367</v>
      </c>
      <c r="AD7" s="30" t="s">
        <v>1018</v>
      </c>
      <c r="AE7" s="29" t="s">
        <v>1016</v>
      </c>
      <c r="AF7" s="30" t="s">
        <v>1018</v>
      </c>
      <c r="AG7" s="44" t="s">
        <v>1056</v>
      </c>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2"/>
      <c r="IX7" s="12"/>
      <c r="IY7" s="12"/>
      <c r="IZ7" s="12"/>
      <c r="JA7" s="12"/>
      <c r="JB7" s="12"/>
      <c r="JC7" s="12"/>
      <c r="JD7" s="12"/>
      <c r="JE7" s="12"/>
      <c r="JF7" s="12"/>
      <c r="JG7" s="12"/>
      <c r="JH7" s="12"/>
      <c r="JI7" s="12"/>
      <c r="JJ7" s="12"/>
      <c r="JK7" s="12"/>
      <c r="JL7" s="12"/>
      <c r="JM7" s="12"/>
      <c r="JN7" s="12"/>
      <c r="JO7" s="12"/>
      <c r="JP7" s="12"/>
      <c r="JQ7" s="12"/>
      <c r="JR7" s="12"/>
      <c r="JS7" s="12"/>
      <c r="JT7" s="12"/>
      <c r="JU7" s="12"/>
      <c r="JV7" s="12"/>
      <c r="JW7" s="12"/>
      <c r="JX7" s="12"/>
      <c r="JY7" s="12"/>
      <c r="JZ7" s="12"/>
      <c r="KA7" s="12"/>
      <c r="KB7" s="12"/>
      <c r="KC7" s="12"/>
      <c r="KD7" s="12"/>
      <c r="KE7" s="12"/>
      <c r="KF7" s="12"/>
      <c r="KG7" s="12"/>
      <c r="KH7" s="12"/>
      <c r="KI7" s="12"/>
      <c r="KJ7" s="12"/>
      <c r="KK7" s="12"/>
      <c r="KL7" s="12"/>
      <c r="KM7" s="12"/>
      <c r="KN7" s="12"/>
      <c r="KO7" s="12"/>
      <c r="KP7" s="12"/>
      <c r="KQ7" s="12"/>
      <c r="KR7" s="12"/>
      <c r="KS7" s="12"/>
      <c r="KT7" s="12"/>
      <c r="KU7" s="12"/>
      <c r="KV7" s="12"/>
      <c r="KW7" s="12"/>
      <c r="KX7" s="12"/>
    </row>
    <row r="8" s="12" customFormat="1" customHeight="1" spans="1:346">
      <c r="A8" s="28" t="s">
        <v>1005</v>
      </c>
      <c r="B8" s="32" t="s">
        <v>1022</v>
      </c>
      <c r="C8" s="32" t="s">
        <v>1057</v>
      </c>
      <c r="D8" s="32" t="s">
        <v>1058</v>
      </c>
      <c r="E8" s="49" t="s">
        <v>219</v>
      </c>
      <c r="F8" s="31" t="s">
        <v>244</v>
      </c>
      <c r="G8" s="31" t="s">
        <v>257</v>
      </c>
      <c r="H8" s="32" t="s">
        <v>1059</v>
      </c>
      <c r="I8" s="32">
        <v>2020</v>
      </c>
      <c r="J8" s="32" t="s">
        <v>1060</v>
      </c>
      <c r="K8" s="36" t="s">
        <v>1046</v>
      </c>
      <c r="L8" s="32">
        <v>5</v>
      </c>
      <c r="M8" s="36">
        <v>45413</v>
      </c>
      <c r="N8" s="36">
        <v>45777</v>
      </c>
      <c r="O8" s="32" t="s">
        <v>1061</v>
      </c>
      <c r="P8" s="32" t="s">
        <v>1016</v>
      </c>
      <c r="Q8" s="32" t="s">
        <v>1016</v>
      </c>
      <c r="R8" s="32" t="s">
        <v>1017</v>
      </c>
      <c r="S8" s="32">
        <v>940.43</v>
      </c>
      <c r="T8" s="32">
        <v>46</v>
      </c>
      <c r="U8" s="32">
        <v>2024.04</v>
      </c>
      <c r="V8" s="33">
        <f>T8/S8</f>
        <v>0.0489137947534638</v>
      </c>
      <c r="W8" s="39" t="s">
        <v>1062</v>
      </c>
      <c r="X8" s="39"/>
      <c r="Y8" s="32" t="s">
        <v>1018</v>
      </c>
      <c r="Z8" s="32" t="s">
        <v>1063</v>
      </c>
      <c r="AA8" s="32" t="s">
        <v>422</v>
      </c>
      <c r="AB8" s="40" t="s">
        <v>1064</v>
      </c>
      <c r="AC8" s="32" t="s">
        <v>37</v>
      </c>
      <c r="AD8" s="32" t="s">
        <v>1018</v>
      </c>
      <c r="AE8" s="32"/>
      <c r="AF8" s="32"/>
      <c r="AG8" s="50" t="s">
        <v>1065</v>
      </c>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6"/>
      <c r="IK8" s="16"/>
      <c r="IL8" s="16"/>
      <c r="IM8" s="16"/>
      <c r="IN8" s="16"/>
      <c r="IO8" s="16"/>
      <c r="IP8" s="16"/>
      <c r="IQ8" s="16"/>
      <c r="IR8" s="16"/>
      <c r="IS8" s="16"/>
      <c r="IT8" s="16"/>
      <c r="IU8" s="16"/>
      <c r="IV8" s="16"/>
      <c r="IW8" s="16"/>
      <c r="IX8" s="16"/>
      <c r="IY8" s="16"/>
      <c r="IZ8" s="16"/>
      <c r="JA8" s="16"/>
      <c r="JB8" s="16"/>
      <c r="JC8" s="16"/>
      <c r="JD8" s="16"/>
      <c r="JE8" s="16"/>
      <c r="JF8" s="16"/>
      <c r="JG8" s="16"/>
      <c r="JH8" s="16"/>
      <c r="JI8" s="16"/>
      <c r="JJ8" s="16"/>
      <c r="JK8" s="16"/>
      <c r="JL8" s="16"/>
      <c r="JM8" s="16"/>
      <c r="JN8" s="16"/>
      <c r="JO8" s="16"/>
      <c r="JP8" s="16"/>
      <c r="JQ8" s="16"/>
      <c r="JR8" s="16"/>
      <c r="JS8" s="16"/>
      <c r="JT8" s="16"/>
      <c r="JU8" s="16"/>
      <c r="JV8" s="16"/>
      <c r="JW8" s="16"/>
      <c r="JX8" s="16"/>
      <c r="JY8" s="16"/>
      <c r="JZ8" s="16"/>
      <c r="KA8" s="16"/>
      <c r="KB8" s="16"/>
      <c r="KC8" s="16"/>
      <c r="KD8" s="16"/>
      <c r="KE8" s="16"/>
      <c r="KF8" s="16"/>
      <c r="KG8" s="16"/>
      <c r="KH8" s="16"/>
      <c r="KI8" s="16"/>
      <c r="KJ8" s="16"/>
      <c r="KK8" s="16"/>
      <c r="KL8" s="16"/>
      <c r="KM8" s="16"/>
      <c r="KN8" s="16"/>
      <c r="KO8" s="16"/>
      <c r="KP8" s="16"/>
      <c r="KQ8" s="16"/>
      <c r="KR8" s="16"/>
      <c r="KS8" s="16"/>
      <c r="KT8" s="16"/>
      <c r="KU8" s="16"/>
      <c r="KV8" s="16"/>
      <c r="KW8" s="9"/>
      <c r="KX8" s="9"/>
    </row>
    <row r="9" s="11" customFormat="1" customHeight="1" spans="1:346">
      <c r="A9" s="28" t="s">
        <v>1005</v>
      </c>
      <c r="B9" s="32" t="s">
        <v>1022</v>
      </c>
      <c r="C9" s="32" t="s">
        <v>1057</v>
      </c>
      <c r="D9" s="32" t="s">
        <v>1058</v>
      </c>
      <c r="E9" s="51" t="s">
        <v>638</v>
      </c>
      <c r="F9" s="31" t="s">
        <v>638</v>
      </c>
      <c r="G9" s="31" t="s">
        <v>640</v>
      </c>
      <c r="H9" s="32">
        <v>12</v>
      </c>
      <c r="I9" s="32">
        <v>2020</v>
      </c>
      <c r="J9" s="32" t="s">
        <v>1050</v>
      </c>
      <c r="K9" s="32" t="s">
        <v>1012</v>
      </c>
      <c r="L9" s="32">
        <v>1</v>
      </c>
      <c r="M9" s="29" t="s">
        <v>1013</v>
      </c>
      <c r="N9" s="29" t="s">
        <v>1014</v>
      </c>
      <c r="O9" s="32" t="s">
        <v>1066</v>
      </c>
      <c r="P9" s="32" t="s">
        <v>1016</v>
      </c>
      <c r="Q9" s="32" t="s">
        <v>1016</v>
      </c>
      <c r="R9" s="32" t="s">
        <v>1017</v>
      </c>
      <c r="S9" s="32">
        <v>4154.01</v>
      </c>
      <c r="T9" s="32">
        <v>30</v>
      </c>
      <c r="U9" s="32" t="s">
        <v>1067</v>
      </c>
      <c r="V9" s="33">
        <v>0.007</v>
      </c>
      <c r="W9" s="32" t="s">
        <v>1068</v>
      </c>
      <c r="X9" s="32" t="s">
        <v>1068</v>
      </c>
      <c r="Y9" s="32" t="s">
        <v>1069</v>
      </c>
      <c r="Z9" s="32" t="s">
        <v>1070</v>
      </c>
      <c r="AA9" s="32" t="s">
        <v>36</v>
      </c>
      <c r="AB9" s="40">
        <v>0.5</v>
      </c>
      <c r="AC9" s="32" t="s">
        <v>367</v>
      </c>
      <c r="AD9" s="32" t="s">
        <v>1016</v>
      </c>
      <c r="AE9" s="29" t="s">
        <v>1016</v>
      </c>
      <c r="AF9" s="30" t="s">
        <v>1018</v>
      </c>
      <c r="AG9" s="32" t="s">
        <v>1071</v>
      </c>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t="s">
        <v>1068</v>
      </c>
      <c r="BI9" s="10" t="s">
        <v>1068</v>
      </c>
      <c r="BJ9" s="10" t="s">
        <v>1068</v>
      </c>
      <c r="BK9" s="10" t="s">
        <v>1068</v>
      </c>
      <c r="BL9" s="10" t="s">
        <v>1068</v>
      </c>
      <c r="BM9" s="10" t="s">
        <v>1068</v>
      </c>
      <c r="BN9" s="10" t="s">
        <v>1068</v>
      </c>
      <c r="BO9" s="10" t="s">
        <v>1068</v>
      </c>
      <c r="BP9" s="10" t="s">
        <v>1068</v>
      </c>
      <c r="BQ9" s="10" t="s">
        <v>1068</v>
      </c>
      <c r="BR9" s="10" t="s">
        <v>1068</v>
      </c>
      <c r="BS9" s="10" t="s">
        <v>1068</v>
      </c>
      <c r="BT9" s="10" t="s">
        <v>1068</v>
      </c>
      <c r="BU9" s="10" t="s">
        <v>1068</v>
      </c>
      <c r="BV9" s="10" t="s">
        <v>1068</v>
      </c>
      <c r="BW9" s="10" t="s">
        <v>1068</v>
      </c>
      <c r="BX9" s="10" t="s">
        <v>1068</v>
      </c>
      <c r="BY9" s="10" t="s">
        <v>1068</v>
      </c>
      <c r="BZ9" s="10" t="s">
        <v>1068</v>
      </c>
      <c r="CA9" s="10" t="s">
        <v>1068</v>
      </c>
      <c r="CB9" s="10" t="s">
        <v>1068</v>
      </c>
      <c r="CC9" s="10" t="s">
        <v>1068</v>
      </c>
      <c r="CD9" s="10" t="s">
        <v>1068</v>
      </c>
      <c r="CE9" s="10" t="s">
        <v>1068</v>
      </c>
      <c r="CF9" s="10" t="s">
        <v>1068</v>
      </c>
      <c r="CG9" s="10" t="s">
        <v>1068</v>
      </c>
      <c r="CH9" s="10" t="s">
        <v>1068</v>
      </c>
      <c r="CI9" s="10" t="s">
        <v>1068</v>
      </c>
      <c r="CJ9" s="10" t="s">
        <v>1068</v>
      </c>
      <c r="CK9" s="10" t="s">
        <v>1068</v>
      </c>
      <c r="CL9" s="10" t="s">
        <v>1068</v>
      </c>
      <c r="CM9" s="10" t="s">
        <v>1068</v>
      </c>
      <c r="CN9" s="10" t="s">
        <v>1068</v>
      </c>
      <c r="CO9" s="10" t="s">
        <v>1068</v>
      </c>
      <c r="CP9" s="10" t="s">
        <v>1068</v>
      </c>
      <c r="CQ9" s="10" t="s">
        <v>1068</v>
      </c>
      <c r="CR9" s="10" t="s">
        <v>1068</v>
      </c>
      <c r="CS9" s="10" t="s">
        <v>1068</v>
      </c>
      <c r="CT9" s="10" t="s">
        <v>1068</v>
      </c>
      <c r="CU9" s="10" t="s">
        <v>1068</v>
      </c>
      <c r="CV9" s="10" t="s">
        <v>1068</v>
      </c>
      <c r="CW9" s="10" t="s">
        <v>1068</v>
      </c>
      <c r="CX9" s="10" t="s">
        <v>1068</v>
      </c>
      <c r="CY9" s="10" t="s">
        <v>1068</v>
      </c>
      <c r="CZ9" s="10" t="s">
        <v>1068</v>
      </c>
      <c r="DA9" s="10" t="s">
        <v>1068</v>
      </c>
      <c r="DB9" s="10" t="s">
        <v>1068</v>
      </c>
      <c r="DC9" s="10" t="s">
        <v>1068</v>
      </c>
      <c r="DD9" s="10" t="s">
        <v>1068</v>
      </c>
      <c r="DE9" s="10" t="s">
        <v>1068</v>
      </c>
      <c r="DF9" s="10" t="s">
        <v>1068</v>
      </c>
      <c r="DG9" s="10" t="s">
        <v>1068</v>
      </c>
      <c r="DH9" s="10" t="s">
        <v>1068</v>
      </c>
      <c r="DI9" s="10" t="s">
        <v>1068</v>
      </c>
      <c r="DJ9" s="10" t="s">
        <v>1068</v>
      </c>
      <c r="DK9" s="10" t="s">
        <v>1068</v>
      </c>
      <c r="DL9" s="10" t="s">
        <v>1068</v>
      </c>
      <c r="DM9" s="10" t="s">
        <v>1068</v>
      </c>
      <c r="DN9" s="10" t="s">
        <v>1068</v>
      </c>
      <c r="DO9" s="10" t="s">
        <v>1068</v>
      </c>
      <c r="DP9" s="10" t="s">
        <v>1068</v>
      </c>
      <c r="DQ9" s="10" t="s">
        <v>1068</v>
      </c>
      <c r="DR9" s="10" t="s">
        <v>1068</v>
      </c>
      <c r="DS9" s="10" t="s">
        <v>1068</v>
      </c>
      <c r="DT9" s="10" t="s">
        <v>1068</v>
      </c>
      <c r="DU9" s="10" t="s">
        <v>1068</v>
      </c>
      <c r="DV9" s="10" t="s">
        <v>1068</v>
      </c>
      <c r="DW9" s="10" t="s">
        <v>1068</v>
      </c>
      <c r="DX9" s="10" t="s">
        <v>1068</v>
      </c>
      <c r="DY9" s="10" t="s">
        <v>1068</v>
      </c>
      <c r="DZ9" s="10" t="s">
        <v>1068</v>
      </c>
      <c r="EA9" s="10" t="s">
        <v>1068</v>
      </c>
      <c r="EB9" s="10" t="s">
        <v>1068</v>
      </c>
      <c r="EC9" s="10" t="s">
        <v>1068</v>
      </c>
      <c r="ED9" s="10" t="s">
        <v>1068</v>
      </c>
      <c r="EE9" s="10" t="s">
        <v>1068</v>
      </c>
      <c r="EF9" s="10" t="s">
        <v>1068</v>
      </c>
      <c r="EG9" s="10" t="s">
        <v>1068</v>
      </c>
      <c r="EH9" s="10" t="s">
        <v>1068</v>
      </c>
      <c r="EI9" s="10" t="s">
        <v>1068</v>
      </c>
      <c r="EJ9" s="10" t="s">
        <v>1068</v>
      </c>
      <c r="EK9" s="10" t="s">
        <v>1068</v>
      </c>
      <c r="EL9" s="10" t="s">
        <v>1068</v>
      </c>
      <c r="EM9" s="10" t="s">
        <v>1068</v>
      </c>
      <c r="EN9" s="10" t="s">
        <v>1068</v>
      </c>
      <c r="EO9" s="10" t="s">
        <v>1068</v>
      </c>
      <c r="EP9" s="10" t="s">
        <v>1068</v>
      </c>
      <c r="EQ9" s="10" t="s">
        <v>1068</v>
      </c>
      <c r="ER9" s="10" t="s">
        <v>1068</v>
      </c>
      <c r="ES9" s="10" t="s">
        <v>1068</v>
      </c>
      <c r="ET9" s="10" t="s">
        <v>1068</v>
      </c>
      <c r="EU9" s="10" t="s">
        <v>1068</v>
      </c>
      <c r="EV9" s="10" t="s">
        <v>1068</v>
      </c>
      <c r="EW9" s="10" t="s">
        <v>1068</v>
      </c>
      <c r="EX9" s="10" t="s">
        <v>1068</v>
      </c>
      <c r="EY9" s="10" t="s">
        <v>1068</v>
      </c>
      <c r="EZ9" s="10" t="s">
        <v>1068</v>
      </c>
      <c r="FA9" s="10" t="s">
        <v>1068</v>
      </c>
      <c r="FB9" s="10" t="s">
        <v>1068</v>
      </c>
      <c r="FC9" s="10" t="s">
        <v>1068</v>
      </c>
      <c r="FD9" s="10" t="s">
        <v>1068</v>
      </c>
      <c r="FE9" s="10" t="s">
        <v>1068</v>
      </c>
      <c r="FF9" s="10" t="s">
        <v>1068</v>
      </c>
      <c r="FG9" s="10" t="s">
        <v>1068</v>
      </c>
      <c r="FH9" s="10" t="s">
        <v>1068</v>
      </c>
      <c r="FI9" s="10" t="s">
        <v>1068</v>
      </c>
      <c r="FJ9" s="10" t="s">
        <v>1068</v>
      </c>
      <c r="FK9" s="10" t="s">
        <v>1068</v>
      </c>
      <c r="FL9" s="10" t="s">
        <v>1068</v>
      </c>
      <c r="FM9" s="10" t="s">
        <v>1068</v>
      </c>
      <c r="FN9" s="10" t="s">
        <v>1068</v>
      </c>
      <c r="FO9" s="10" t="s">
        <v>1068</v>
      </c>
      <c r="FP9" s="10" t="s">
        <v>1068</v>
      </c>
      <c r="FQ9" s="10" t="s">
        <v>1068</v>
      </c>
      <c r="FR9" s="10" t="s">
        <v>1068</v>
      </c>
      <c r="FS9" s="10" t="s">
        <v>1068</v>
      </c>
      <c r="FT9" s="10" t="s">
        <v>1068</v>
      </c>
      <c r="FU9" s="10" t="s">
        <v>1068</v>
      </c>
      <c r="FV9" s="10" t="s">
        <v>1068</v>
      </c>
      <c r="FW9" s="10" t="s">
        <v>1068</v>
      </c>
      <c r="FX9" s="10" t="s">
        <v>1068</v>
      </c>
      <c r="FY9" s="10" t="s">
        <v>1068</v>
      </c>
      <c r="FZ9" s="10" t="s">
        <v>1068</v>
      </c>
      <c r="GA9" s="10" t="s">
        <v>1068</v>
      </c>
      <c r="GB9" s="10" t="s">
        <v>1068</v>
      </c>
      <c r="GC9" s="10" t="s">
        <v>1068</v>
      </c>
      <c r="GD9" s="10" t="s">
        <v>1068</v>
      </c>
      <c r="GE9" s="10" t="s">
        <v>1068</v>
      </c>
      <c r="GF9" s="10" t="s">
        <v>1068</v>
      </c>
      <c r="GG9" s="10" t="s">
        <v>1068</v>
      </c>
      <c r="GH9" s="10" t="s">
        <v>1068</v>
      </c>
      <c r="GI9" s="10" t="s">
        <v>1068</v>
      </c>
      <c r="GJ9" s="10" t="s">
        <v>1068</v>
      </c>
      <c r="GK9" s="10" t="s">
        <v>1068</v>
      </c>
      <c r="GL9" s="10" t="s">
        <v>1068</v>
      </c>
      <c r="GM9" s="10" t="s">
        <v>1068</v>
      </c>
      <c r="GN9" s="10" t="s">
        <v>1068</v>
      </c>
      <c r="GO9" s="10" t="s">
        <v>1068</v>
      </c>
      <c r="GP9" s="10" t="s">
        <v>1068</v>
      </c>
      <c r="GQ9" s="10" t="s">
        <v>1068</v>
      </c>
      <c r="GR9" s="10" t="s">
        <v>1068</v>
      </c>
      <c r="GS9" s="10" t="s">
        <v>1068</v>
      </c>
      <c r="GT9" s="10" t="s">
        <v>1068</v>
      </c>
      <c r="GU9" s="10" t="s">
        <v>1068</v>
      </c>
      <c r="GV9" s="10" t="s">
        <v>1068</v>
      </c>
      <c r="GW9" s="10" t="s">
        <v>1068</v>
      </c>
      <c r="GX9" s="10" t="s">
        <v>1068</v>
      </c>
      <c r="GY9" s="10" t="s">
        <v>1068</v>
      </c>
      <c r="GZ9" s="10" t="s">
        <v>1068</v>
      </c>
      <c r="HA9" s="10" t="s">
        <v>1068</v>
      </c>
      <c r="HB9" s="10" t="s">
        <v>1068</v>
      </c>
      <c r="HC9" s="10" t="s">
        <v>1068</v>
      </c>
      <c r="HD9" s="10" t="s">
        <v>1068</v>
      </c>
      <c r="HE9" s="10" t="s">
        <v>1068</v>
      </c>
      <c r="HF9" s="10" t="s">
        <v>1068</v>
      </c>
      <c r="HG9" s="10" t="s">
        <v>1068</v>
      </c>
      <c r="HH9" s="10" t="s">
        <v>1068</v>
      </c>
      <c r="HI9" s="10" t="s">
        <v>1068</v>
      </c>
      <c r="HJ9" s="10" t="s">
        <v>1068</v>
      </c>
      <c r="HK9" s="10" t="s">
        <v>1068</v>
      </c>
      <c r="HL9" s="10" t="s">
        <v>1068</v>
      </c>
      <c r="HM9" s="10" t="s">
        <v>1068</v>
      </c>
      <c r="HN9" s="10" t="s">
        <v>1068</v>
      </c>
      <c r="HO9" s="10" t="s">
        <v>1068</v>
      </c>
      <c r="HP9" s="10" t="s">
        <v>1068</v>
      </c>
      <c r="HQ9" s="10" t="s">
        <v>1068</v>
      </c>
      <c r="HR9" s="10" t="s">
        <v>1068</v>
      </c>
      <c r="HS9" s="10" t="s">
        <v>1068</v>
      </c>
      <c r="HT9" s="10" t="s">
        <v>1068</v>
      </c>
      <c r="HU9" s="10" t="s">
        <v>1068</v>
      </c>
      <c r="HV9" s="10" t="s">
        <v>1068</v>
      </c>
      <c r="HW9" s="10" t="s">
        <v>1068</v>
      </c>
      <c r="HX9" s="10" t="s">
        <v>1068</v>
      </c>
      <c r="HY9" s="10" t="s">
        <v>1068</v>
      </c>
      <c r="HZ9" s="10" t="s">
        <v>1068</v>
      </c>
      <c r="IA9" s="10" t="s">
        <v>1068</v>
      </c>
      <c r="IB9" s="10" t="s">
        <v>1068</v>
      </c>
      <c r="IC9" s="10" t="s">
        <v>1068</v>
      </c>
      <c r="ID9" s="10" t="s">
        <v>1068</v>
      </c>
      <c r="IE9" s="10" t="s">
        <v>1068</v>
      </c>
      <c r="IF9" s="10" t="s">
        <v>1068</v>
      </c>
      <c r="IG9" s="10" t="s">
        <v>1068</v>
      </c>
      <c r="IH9" s="10" t="s">
        <v>1068</v>
      </c>
      <c r="IJ9" s="10"/>
      <c r="IK9" s="10"/>
      <c r="IL9" s="10"/>
      <c r="IM9" s="10"/>
      <c r="IN9" s="10"/>
      <c r="IO9" s="10"/>
      <c r="IP9" s="10"/>
      <c r="IQ9" s="10"/>
      <c r="IR9" s="10"/>
      <c r="IS9" s="10"/>
      <c r="IT9" s="10"/>
      <c r="IU9" s="10"/>
      <c r="IV9" s="10"/>
      <c r="IW9" s="10"/>
      <c r="IX9" s="10"/>
      <c r="IY9" s="10"/>
      <c r="IZ9" s="10"/>
      <c r="JA9" s="10"/>
      <c r="JB9" s="10"/>
      <c r="JC9" s="10"/>
      <c r="JD9" s="10"/>
      <c r="JE9" s="10"/>
      <c r="JF9" s="10"/>
      <c r="JG9" s="10"/>
      <c r="JH9" s="10"/>
      <c r="JI9" s="10"/>
      <c r="JJ9" s="10"/>
      <c r="JK9" s="10"/>
      <c r="JL9" s="10"/>
      <c r="JM9" s="10"/>
      <c r="JN9" s="10"/>
      <c r="JO9" s="10"/>
      <c r="JP9" s="10"/>
      <c r="JQ9" s="10"/>
      <c r="JR9" s="10"/>
      <c r="JS9" s="10"/>
      <c r="JT9" s="10"/>
      <c r="JU9" s="10"/>
      <c r="JV9" s="10"/>
      <c r="JW9" s="10"/>
      <c r="JX9" s="10"/>
      <c r="JY9" s="10"/>
      <c r="JZ9" s="10"/>
      <c r="KA9" s="10"/>
      <c r="KB9" s="10"/>
      <c r="KC9" s="10"/>
      <c r="KD9" s="10"/>
      <c r="KE9" s="10"/>
      <c r="KF9" s="10"/>
      <c r="KG9" s="10"/>
      <c r="KH9" s="10"/>
      <c r="KI9" s="10"/>
      <c r="KJ9" s="10"/>
      <c r="KK9" s="10"/>
      <c r="KL9" s="10"/>
      <c r="KM9" s="10"/>
      <c r="KN9" s="10"/>
      <c r="KO9" s="10"/>
      <c r="KP9" s="10"/>
      <c r="KQ9" s="10"/>
      <c r="KR9" s="10"/>
      <c r="KS9" s="10"/>
      <c r="KT9" s="10"/>
      <c r="KU9" s="10"/>
      <c r="KV9" s="10"/>
      <c r="KW9" s="9"/>
      <c r="KX9" s="9"/>
    </row>
    <row r="10" s="13" customFormat="1" customHeight="1" spans="1:346">
      <c r="A10" s="28" t="s">
        <v>1005</v>
      </c>
      <c r="B10" s="32" t="s">
        <v>1022</v>
      </c>
      <c r="C10" s="52" t="s">
        <v>1023</v>
      </c>
      <c r="D10" s="52" t="s">
        <v>134</v>
      </c>
      <c r="E10" s="52" t="s">
        <v>561</v>
      </c>
      <c r="F10" s="31" t="s">
        <v>1072</v>
      </c>
      <c r="G10" s="31" t="s">
        <v>1073</v>
      </c>
      <c r="H10" s="51">
        <v>12</v>
      </c>
      <c r="I10" s="52">
        <v>2021</v>
      </c>
      <c r="J10" s="51" t="s">
        <v>1074</v>
      </c>
      <c r="K10" s="51" t="s">
        <v>1075</v>
      </c>
      <c r="L10" s="52">
        <v>1</v>
      </c>
      <c r="M10" s="29" t="s">
        <v>1013</v>
      </c>
      <c r="N10" s="29" t="s">
        <v>1014</v>
      </c>
      <c r="O10" s="51" t="s">
        <v>1076</v>
      </c>
      <c r="P10" s="51" t="s">
        <v>1016</v>
      </c>
      <c r="Q10" s="51" t="s">
        <v>1018</v>
      </c>
      <c r="R10" s="51" t="s">
        <v>1017</v>
      </c>
      <c r="S10" s="53">
        <v>325.49</v>
      </c>
      <c r="T10" s="52">
        <v>22.7</v>
      </c>
      <c r="U10" s="52" t="s">
        <v>1077</v>
      </c>
      <c r="V10" s="54">
        <v>0.07</v>
      </c>
      <c r="W10" s="52"/>
      <c r="X10" s="52" t="s">
        <v>1078</v>
      </c>
      <c r="Y10" s="52" t="s">
        <v>1018</v>
      </c>
      <c r="Z10" s="52" t="s">
        <v>1079</v>
      </c>
      <c r="AA10" s="52" t="s">
        <v>422</v>
      </c>
      <c r="AB10" s="55" t="s">
        <v>1080</v>
      </c>
      <c r="AC10" s="29" t="s">
        <v>37</v>
      </c>
      <c r="AD10" s="52" t="s">
        <v>1018</v>
      </c>
      <c r="AE10" s="29" t="s">
        <v>1016</v>
      </c>
      <c r="AF10" s="30" t="s">
        <v>1018</v>
      </c>
      <c r="AG10" s="41" t="s">
        <v>1081</v>
      </c>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c r="EW10" s="56"/>
      <c r="EX10" s="56"/>
      <c r="EY10" s="56"/>
      <c r="EZ10" s="56"/>
      <c r="FA10" s="56"/>
      <c r="FB10" s="56"/>
      <c r="FC10" s="56"/>
      <c r="FD10" s="56"/>
      <c r="FE10" s="56"/>
      <c r="FF10" s="56"/>
      <c r="FG10" s="56"/>
      <c r="FH10" s="56"/>
      <c r="FI10" s="56"/>
      <c r="FJ10" s="56"/>
      <c r="FK10" s="56"/>
      <c r="FL10" s="56"/>
      <c r="FM10" s="56"/>
      <c r="FN10" s="56"/>
      <c r="FO10" s="56"/>
      <c r="FP10" s="56"/>
      <c r="FQ10" s="56"/>
      <c r="FR10" s="56"/>
      <c r="FS10" s="56"/>
      <c r="FT10" s="56"/>
      <c r="FU10" s="56"/>
      <c r="FV10" s="56"/>
      <c r="FW10" s="56"/>
      <c r="FX10" s="56"/>
      <c r="FY10" s="56"/>
      <c r="FZ10" s="56"/>
      <c r="GA10" s="56"/>
      <c r="GB10" s="56"/>
      <c r="GC10" s="56"/>
      <c r="GD10" s="56"/>
      <c r="GE10" s="56"/>
      <c r="GF10" s="56"/>
      <c r="GG10" s="56"/>
      <c r="GH10" s="56"/>
      <c r="GI10" s="56"/>
      <c r="GJ10" s="56"/>
      <c r="GK10" s="56"/>
      <c r="GL10" s="56"/>
      <c r="GM10" s="56"/>
      <c r="GN10" s="56"/>
      <c r="GO10" s="56"/>
      <c r="GP10" s="56"/>
      <c r="GQ10" s="56"/>
      <c r="GR10" s="56"/>
      <c r="GS10" s="56"/>
      <c r="GT10" s="56"/>
      <c r="GU10" s="56"/>
      <c r="GV10" s="56"/>
      <c r="GW10" s="56"/>
      <c r="GX10" s="56"/>
      <c r="GY10" s="56"/>
      <c r="GZ10" s="56"/>
      <c r="HA10" s="56"/>
      <c r="HB10" s="56"/>
      <c r="HC10" s="56"/>
      <c r="HD10" s="56"/>
      <c r="HE10" s="56"/>
      <c r="HF10" s="56"/>
      <c r="HG10" s="56"/>
      <c r="HH10" s="56"/>
      <c r="HI10" s="56"/>
      <c r="HJ10" s="56"/>
      <c r="HK10" s="56"/>
      <c r="HL10" s="56"/>
      <c r="HM10" s="56"/>
      <c r="HN10" s="56"/>
      <c r="HO10" s="56"/>
      <c r="HP10" s="56"/>
      <c r="HQ10" s="56"/>
      <c r="HR10" s="56"/>
      <c r="HS10" s="56"/>
      <c r="HT10" s="56"/>
      <c r="HU10" s="56"/>
      <c r="HV10" s="56"/>
      <c r="HW10" s="56"/>
      <c r="HX10" s="56"/>
      <c r="HY10" s="56"/>
      <c r="HZ10" s="56"/>
      <c r="IA10" s="56"/>
      <c r="IB10" s="56"/>
      <c r="IC10" s="56"/>
      <c r="ID10" s="56"/>
      <c r="IE10" s="56"/>
      <c r="IF10" s="56"/>
      <c r="IG10" s="56"/>
      <c r="IH10" s="56"/>
      <c r="II10" s="56"/>
      <c r="IJ10" s="9"/>
      <c r="IK10" s="9"/>
      <c r="IL10" s="9"/>
      <c r="IM10" s="9"/>
      <c r="IN10" s="9"/>
      <c r="IO10" s="9"/>
      <c r="IP10" s="9"/>
      <c r="IQ10" s="9"/>
      <c r="IR10" s="9"/>
      <c r="IS10" s="9"/>
      <c r="IT10" s="9"/>
      <c r="IU10" s="9"/>
      <c r="IV10" s="9"/>
      <c r="IW10" s="9"/>
      <c r="IX10" s="9"/>
      <c r="IY10" s="9"/>
      <c r="IZ10" s="9"/>
      <c r="JA10" s="9"/>
      <c r="JB10" s="9"/>
      <c r="JC10" s="9"/>
      <c r="JD10" s="9"/>
      <c r="JE10" s="9"/>
      <c r="JF10" s="9"/>
      <c r="JG10" s="9"/>
      <c r="JH10" s="9"/>
      <c r="JI10" s="9"/>
      <c r="JJ10" s="9"/>
      <c r="JK10" s="9"/>
      <c r="JL10" s="9"/>
      <c r="JM10" s="9"/>
      <c r="JN10" s="9"/>
      <c r="JO10" s="9"/>
      <c r="JP10" s="9"/>
      <c r="JQ10" s="9"/>
      <c r="JR10" s="9"/>
      <c r="JS10" s="9"/>
      <c r="JT10" s="9"/>
      <c r="JU10" s="9"/>
      <c r="JV10" s="9"/>
      <c r="JW10" s="9"/>
      <c r="JX10" s="9"/>
      <c r="JY10" s="9"/>
      <c r="JZ10" s="9"/>
      <c r="KA10" s="9"/>
      <c r="KB10" s="9"/>
      <c r="KC10" s="9"/>
      <c r="KD10" s="9"/>
      <c r="KE10" s="9"/>
      <c r="KF10" s="9"/>
      <c r="KG10" s="9"/>
      <c r="KH10" s="9"/>
      <c r="KI10" s="9"/>
      <c r="KJ10" s="9"/>
      <c r="KK10" s="9"/>
      <c r="KL10" s="9"/>
      <c r="KM10" s="9"/>
      <c r="KN10" s="9"/>
      <c r="KO10" s="9"/>
      <c r="KP10" s="9"/>
      <c r="KQ10" s="9"/>
      <c r="KR10" s="9"/>
      <c r="KS10" s="9"/>
      <c r="KT10" s="9"/>
      <c r="KU10" s="9"/>
      <c r="KV10" s="9"/>
      <c r="KW10" s="11"/>
      <c r="KX10" s="11"/>
    </row>
    <row r="11" s="10" customFormat="1" customHeight="1" spans="1:346">
      <c r="A11" s="28" t="s">
        <v>1005</v>
      </c>
      <c r="B11" s="32" t="s">
        <v>1022</v>
      </c>
      <c r="C11" s="32" t="s">
        <v>1007</v>
      </c>
      <c r="D11" s="32" t="s">
        <v>134</v>
      </c>
      <c r="E11" s="32" t="s">
        <v>678</v>
      </c>
      <c r="F11" s="31" t="s">
        <v>1082</v>
      </c>
      <c r="G11" s="31" t="s">
        <v>1083</v>
      </c>
      <c r="H11" s="32">
        <v>12</v>
      </c>
      <c r="I11" s="32">
        <v>2021</v>
      </c>
      <c r="J11" s="36" t="s">
        <v>1084</v>
      </c>
      <c r="K11" s="36" t="s">
        <v>1036</v>
      </c>
      <c r="L11" s="32">
        <v>1</v>
      </c>
      <c r="M11" s="29" t="s">
        <v>1013</v>
      </c>
      <c r="N11" s="29" t="s">
        <v>1014</v>
      </c>
      <c r="O11" s="32" t="s">
        <v>1085</v>
      </c>
      <c r="P11" s="32" t="s">
        <v>1018</v>
      </c>
      <c r="Q11" s="32" t="s">
        <v>1016</v>
      </c>
      <c r="R11" s="32" t="s">
        <v>1039</v>
      </c>
      <c r="S11" s="38">
        <v>385.56</v>
      </c>
      <c r="T11" s="32">
        <f>140/5</f>
        <v>28</v>
      </c>
      <c r="U11" s="32">
        <v>2025.12</v>
      </c>
      <c r="V11" s="33">
        <v>0.1</v>
      </c>
      <c r="W11" s="39">
        <v>1.2</v>
      </c>
      <c r="X11" s="57" t="s">
        <v>1086</v>
      </c>
      <c r="Y11" s="32" t="s">
        <v>1018</v>
      </c>
      <c r="Z11" s="32" t="s">
        <v>1087</v>
      </c>
      <c r="AA11" s="32" t="s">
        <v>378</v>
      </c>
      <c r="AB11" s="32" t="s">
        <v>1088</v>
      </c>
      <c r="AC11" s="32" t="s">
        <v>65</v>
      </c>
      <c r="AD11" s="32" t="s">
        <v>1018</v>
      </c>
      <c r="AE11" s="29" t="s">
        <v>1016</v>
      </c>
      <c r="AF11" s="30" t="s">
        <v>1018</v>
      </c>
      <c r="AG11" s="49"/>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c r="IX11" s="9"/>
      <c r="IY11" s="9"/>
      <c r="IZ11" s="9"/>
      <c r="JA11" s="9"/>
      <c r="JB11" s="9"/>
      <c r="JC11" s="9"/>
      <c r="JD11" s="9"/>
      <c r="JE11" s="9"/>
      <c r="JF11" s="9"/>
      <c r="JG11" s="9"/>
      <c r="JH11" s="9"/>
      <c r="JI11" s="9"/>
      <c r="JJ11" s="9"/>
      <c r="JK11" s="9"/>
      <c r="JL11" s="9"/>
      <c r="JM11" s="9"/>
      <c r="JN11" s="9"/>
      <c r="JO11" s="9"/>
      <c r="JP11" s="9"/>
      <c r="JQ11" s="9"/>
      <c r="JR11" s="9"/>
      <c r="JS11" s="9"/>
      <c r="JT11" s="9"/>
      <c r="JU11" s="9"/>
      <c r="JV11" s="9"/>
      <c r="JW11" s="9"/>
      <c r="JX11" s="9"/>
      <c r="JY11" s="9"/>
      <c r="JZ11" s="9"/>
      <c r="KA11" s="9"/>
      <c r="KB11" s="9"/>
      <c r="KC11" s="9"/>
      <c r="KD11" s="9"/>
      <c r="KE11" s="9"/>
      <c r="KF11" s="9"/>
      <c r="KG11" s="9"/>
      <c r="KH11" s="9"/>
      <c r="KI11" s="9"/>
      <c r="KJ11" s="9"/>
      <c r="KK11" s="9"/>
      <c r="KL11" s="9"/>
      <c r="KM11" s="9"/>
      <c r="KN11" s="9"/>
      <c r="KO11" s="9"/>
      <c r="KP11" s="9"/>
      <c r="KQ11" s="9"/>
      <c r="KR11" s="9"/>
      <c r="KS11" s="9"/>
      <c r="KT11" s="9"/>
      <c r="KU11" s="9"/>
      <c r="KV11" s="9"/>
      <c r="KW11" s="13"/>
      <c r="KX11" s="13"/>
    </row>
    <row r="12" s="14" customFormat="1" customHeight="1" spans="1:346">
      <c r="A12" s="28" t="s">
        <v>1005</v>
      </c>
      <c r="B12" s="32" t="s">
        <v>1022</v>
      </c>
      <c r="C12" s="29" t="s">
        <v>1057</v>
      </c>
      <c r="D12" s="30" t="s">
        <v>134</v>
      </c>
      <c r="E12" s="58" t="s">
        <v>869</v>
      </c>
      <c r="F12" s="31" t="s">
        <v>1089</v>
      </c>
      <c r="G12" s="31" t="s">
        <v>1090</v>
      </c>
      <c r="H12" s="30">
        <v>12</v>
      </c>
      <c r="I12" s="29">
        <v>2024</v>
      </c>
      <c r="J12" s="29" t="s">
        <v>1050</v>
      </c>
      <c r="K12" s="29" t="s">
        <v>1091</v>
      </c>
      <c r="L12" s="29">
        <v>1</v>
      </c>
      <c r="M12" s="29" t="s">
        <v>1013</v>
      </c>
      <c r="N12" s="29" t="s">
        <v>1014</v>
      </c>
      <c r="O12" s="30">
        <v>99</v>
      </c>
      <c r="P12" s="30" t="s">
        <v>1018</v>
      </c>
      <c r="Q12" s="29" t="s">
        <v>1016</v>
      </c>
      <c r="R12" s="29" t="s">
        <v>1092</v>
      </c>
      <c r="S12" s="29">
        <v>512.35</v>
      </c>
      <c r="T12" s="15"/>
      <c r="U12" s="15"/>
      <c r="V12" s="43"/>
      <c r="W12" s="35">
        <v>1.39</v>
      </c>
      <c r="X12" s="15" t="s">
        <v>1093</v>
      </c>
      <c r="Y12" s="29" t="s">
        <v>1018</v>
      </c>
      <c r="Z12" s="30" t="s">
        <v>1094</v>
      </c>
      <c r="AA12" s="29" t="s">
        <v>36</v>
      </c>
      <c r="AB12" s="15" t="s">
        <v>1095</v>
      </c>
      <c r="AC12" s="30" t="s">
        <v>37</v>
      </c>
      <c r="AD12" s="29" t="s">
        <v>1018</v>
      </c>
      <c r="AE12" s="15" t="s">
        <v>1096</v>
      </c>
      <c r="AF12" s="15"/>
      <c r="AG12" s="50" t="s">
        <v>1081</v>
      </c>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c r="IW12" s="22"/>
      <c r="IX12" s="22"/>
      <c r="IY12" s="22"/>
      <c r="IZ12" s="22"/>
      <c r="JA12" s="22"/>
      <c r="JB12" s="22"/>
      <c r="JC12" s="22"/>
      <c r="JD12" s="22"/>
      <c r="JE12" s="22"/>
      <c r="JF12" s="22"/>
      <c r="JG12" s="22"/>
      <c r="JH12" s="22"/>
      <c r="JI12" s="22"/>
      <c r="JJ12" s="22"/>
      <c r="JK12" s="22"/>
      <c r="JL12" s="22"/>
      <c r="JM12" s="22"/>
      <c r="JN12" s="22"/>
      <c r="JO12" s="22"/>
      <c r="JP12" s="22"/>
      <c r="JQ12" s="22"/>
      <c r="JR12" s="22"/>
      <c r="JS12" s="22"/>
      <c r="JT12" s="22"/>
      <c r="JU12" s="22"/>
      <c r="JV12" s="22"/>
      <c r="JW12" s="22"/>
      <c r="JX12" s="22"/>
      <c r="JY12" s="22"/>
      <c r="JZ12" s="22"/>
      <c r="KA12" s="22"/>
      <c r="KB12" s="22"/>
      <c r="KC12" s="22"/>
      <c r="KD12" s="22"/>
      <c r="KE12" s="22"/>
      <c r="KF12" s="22"/>
      <c r="KG12" s="22"/>
      <c r="KH12" s="22"/>
      <c r="KI12" s="22"/>
      <c r="KJ12" s="22"/>
      <c r="KK12" s="22"/>
      <c r="KL12" s="22"/>
      <c r="KM12" s="22"/>
      <c r="KN12" s="22"/>
      <c r="KO12" s="22"/>
      <c r="KP12" s="22"/>
      <c r="KQ12" s="22"/>
      <c r="KR12" s="22"/>
      <c r="KS12" s="22"/>
      <c r="KT12" s="22"/>
      <c r="KU12" s="22"/>
      <c r="KV12" s="22"/>
      <c r="KW12" s="22"/>
      <c r="KX12" s="22"/>
      <c r="KY12" s="22"/>
      <c r="KZ12" s="22"/>
      <c r="LA12" s="22"/>
      <c r="LB12" s="22"/>
      <c r="LC12" s="22"/>
      <c r="LD12" s="22"/>
      <c r="LE12" s="22"/>
      <c r="LF12" s="22"/>
      <c r="LG12" s="22"/>
      <c r="LH12" s="22"/>
      <c r="LI12" s="22"/>
      <c r="LJ12" s="22"/>
      <c r="LK12" s="22"/>
      <c r="LL12" s="22"/>
      <c r="LM12" s="22"/>
      <c r="LN12" s="22"/>
      <c r="LO12" s="22"/>
      <c r="LP12" s="22"/>
      <c r="LQ12" s="22"/>
      <c r="LR12" s="22"/>
      <c r="LS12" s="22"/>
      <c r="LT12" s="22"/>
      <c r="LU12" s="22"/>
      <c r="LV12" s="22"/>
      <c r="LW12" s="22"/>
      <c r="LX12" s="22"/>
      <c r="LY12" s="22"/>
      <c r="LZ12" s="22"/>
      <c r="MA12" s="22"/>
      <c r="MB12" s="22"/>
      <c r="MC12" s="22"/>
      <c r="MD12" s="22"/>
      <c r="ME12" s="22"/>
      <c r="MF12" s="22"/>
      <c r="MG12" s="22"/>
      <c r="MH12" s="22"/>
    </row>
    <row r="13" s="10" customFormat="1" customHeight="1" spans="1:346">
      <c r="A13" s="28" t="s">
        <v>1005</v>
      </c>
      <c r="B13" s="32" t="s">
        <v>1022</v>
      </c>
      <c r="C13" s="30" t="s">
        <v>1007</v>
      </c>
      <c r="D13" s="30" t="s">
        <v>134</v>
      </c>
      <c r="E13" s="30" t="s">
        <v>678</v>
      </c>
      <c r="F13" s="31" t="s">
        <v>1097</v>
      </c>
      <c r="G13" s="31" t="s">
        <v>1098</v>
      </c>
      <c r="H13" s="30">
        <v>12</v>
      </c>
      <c r="I13" s="30">
        <v>2021</v>
      </c>
      <c r="J13" s="59" t="s">
        <v>1074</v>
      </c>
      <c r="K13" s="30" t="s">
        <v>1099</v>
      </c>
      <c r="L13" s="30">
        <v>1</v>
      </c>
      <c r="M13" s="29" t="s">
        <v>1013</v>
      </c>
      <c r="N13" s="29" t="s">
        <v>1014</v>
      </c>
      <c r="O13" s="30">
        <v>99</v>
      </c>
      <c r="P13" s="30" t="s">
        <v>1018</v>
      </c>
      <c r="Q13" s="30" t="s">
        <v>1018</v>
      </c>
      <c r="R13" s="30" t="s">
        <v>1039</v>
      </c>
      <c r="S13" s="60">
        <v>392.86</v>
      </c>
      <c r="T13" s="29">
        <f>260/4</f>
        <v>65</v>
      </c>
      <c r="U13" s="29">
        <v>2025.12</v>
      </c>
      <c r="V13" s="33">
        <f>T13/S13</f>
        <v>0.165453342157512</v>
      </c>
      <c r="W13" s="34">
        <f>18200/260/99</f>
        <v>0.707070707070707</v>
      </c>
      <c r="X13" s="34" t="s">
        <v>1100</v>
      </c>
      <c r="Y13" s="30" t="s">
        <v>1018</v>
      </c>
      <c r="Z13" s="30" t="s">
        <v>1101</v>
      </c>
      <c r="AA13" s="30" t="s">
        <v>1102</v>
      </c>
      <c r="AB13" s="61" t="s">
        <v>1103</v>
      </c>
      <c r="AC13" s="30" t="s">
        <v>37</v>
      </c>
      <c r="AD13" s="29" t="s">
        <v>1018</v>
      </c>
      <c r="AE13" s="29" t="s">
        <v>1104</v>
      </c>
      <c r="AF13" s="30" t="s">
        <v>1018</v>
      </c>
      <c r="AG13" s="41" t="s">
        <v>1105</v>
      </c>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9"/>
      <c r="KW13" s="9"/>
      <c r="KX13" s="9"/>
    </row>
    <row r="14" s="15" customFormat="1" ht="18.5" customHeight="1" spans="1:346">
      <c r="A14" s="28" t="s">
        <v>1005</v>
      </c>
      <c r="B14" s="32" t="s">
        <v>1022</v>
      </c>
      <c r="C14" s="29" t="s">
        <v>1057</v>
      </c>
      <c r="D14" s="29" t="s">
        <v>1058</v>
      </c>
      <c r="E14" s="29" t="s">
        <v>219</v>
      </c>
      <c r="F14" s="31" t="s">
        <v>277</v>
      </c>
      <c r="G14" s="31" t="s">
        <v>1106</v>
      </c>
      <c r="H14" s="29">
        <v>12</v>
      </c>
      <c r="I14" s="29">
        <v>2021</v>
      </c>
      <c r="J14" s="29" t="s">
        <v>1107</v>
      </c>
      <c r="K14" s="29" t="s">
        <v>1108</v>
      </c>
      <c r="L14" s="29">
        <v>1</v>
      </c>
      <c r="M14" s="29" t="s">
        <v>1013</v>
      </c>
      <c r="N14" s="29" t="s">
        <v>1109</v>
      </c>
      <c r="O14" s="29" t="s">
        <v>1110</v>
      </c>
      <c r="P14" s="29" t="s">
        <v>1018</v>
      </c>
      <c r="Q14" s="29" t="s">
        <v>1016</v>
      </c>
      <c r="R14" s="29" t="s">
        <v>1111</v>
      </c>
      <c r="S14" s="29">
        <v>773</v>
      </c>
      <c r="V14" s="43"/>
      <c r="X14" s="15" t="s">
        <v>1112</v>
      </c>
      <c r="Y14" s="29" t="s">
        <v>1018</v>
      </c>
      <c r="Z14" s="29" t="s">
        <v>1113</v>
      </c>
      <c r="AA14" s="29" t="s">
        <v>422</v>
      </c>
      <c r="AB14" s="29" t="s">
        <v>1114</v>
      </c>
      <c r="AC14" s="29" t="s">
        <v>65</v>
      </c>
      <c r="AD14" s="29" t="s">
        <v>1018</v>
      </c>
      <c r="AE14" s="29" t="s">
        <v>1115</v>
      </c>
      <c r="AF14" s="29" t="s">
        <v>1016</v>
      </c>
      <c r="AG14" s="50" t="s">
        <v>1081</v>
      </c>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62"/>
    </row>
    <row r="15" customHeight="1" spans="1:346">
      <c r="A15" s="28" t="s">
        <v>1005</v>
      </c>
      <c r="B15" s="29" t="s">
        <v>1022</v>
      </c>
      <c r="C15" s="29" t="s">
        <v>1032</v>
      </c>
      <c r="D15" s="29" t="s">
        <v>134</v>
      </c>
      <c r="E15" s="29" t="s">
        <v>381</v>
      </c>
      <c r="F15" s="31" t="s">
        <v>1116</v>
      </c>
      <c r="G15" s="31" t="s">
        <v>1117</v>
      </c>
      <c r="H15" s="63">
        <v>12</v>
      </c>
      <c r="I15" s="29">
        <v>2021</v>
      </c>
      <c r="J15" s="29" t="s">
        <v>1107</v>
      </c>
      <c r="K15" s="29" t="s">
        <v>1118</v>
      </c>
      <c r="L15" s="29">
        <v>1</v>
      </c>
      <c r="M15" s="29" t="s">
        <v>1013</v>
      </c>
      <c r="N15" s="29" t="s">
        <v>1014</v>
      </c>
      <c r="O15" s="29">
        <v>99</v>
      </c>
      <c r="P15" s="29" t="s">
        <v>1018</v>
      </c>
      <c r="Q15" s="29" t="s">
        <v>1016</v>
      </c>
      <c r="R15" s="29" t="s">
        <v>1039</v>
      </c>
      <c r="S15" s="32">
        <v>396.95</v>
      </c>
      <c r="T15" s="32">
        <v>97.4</v>
      </c>
      <c r="U15" s="32">
        <v>2025.12</v>
      </c>
      <c r="V15" s="33">
        <v>0.2452</v>
      </c>
      <c r="W15" s="34">
        <v>0.404588235294118</v>
      </c>
      <c r="X15" s="29" t="s">
        <v>1119</v>
      </c>
      <c r="Y15" s="29" t="s">
        <v>1018</v>
      </c>
      <c r="Z15" s="29" t="s">
        <v>1120</v>
      </c>
      <c r="AA15" s="29" t="s">
        <v>36</v>
      </c>
      <c r="AB15" s="29" t="s">
        <v>1121</v>
      </c>
      <c r="AC15" s="29" t="s">
        <v>36</v>
      </c>
      <c r="AD15" s="29" t="s">
        <v>1016</v>
      </c>
      <c r="AE15" s="29" t="s">
        <v>1122</v>
      </c>
      <c r="AF15" s="29" t="s">
        <v>1016</v>
      </c>
      <c r="AG15" s="29" t="s">
        <v>1123</v>
      </c>
    </row>
    <row r="16" ht="22.5" customHeight="1" spans="1:346">
      <c r="A16" s="28" t="s">
        <v>1005</v>
      </c>
      <c r="B16" s="51" t="s">
        <v>1022</v>
      </c>
      <c r="C16" s="51" t="s">
        <v>1057</v>
      </c>
      <c r="D16" s="51" t="s">
        <v>134</v>
      </c>
      <c r="E16" s="51" t="s">
        <v>869</v>
      </c>
      <c r="F16" s="31" t="s">
        <v>1124</v>
      </c>
      <c r="G16" s="31" t="s">
        <v>1125</v>
      </c>
      <c r="H16" s="51">
        <v>12</v>
      </c>
      <c r="I16" s="51">
        <v>2023</v>
      </c>
      <c r="J16" s="29" t="s">
        <v>1126</v>
      </c>
      <c r="K16" s="29" t="s">
        <v>1127</v>
      </c>
      <c r="L16" s="29">
        <v>1</v>
      </c>
      <c r="M16" s="29" t="s">
        <v>1128</v>
      </c>
      <c r="N16" s="29" t="s">
        <v>1014</v>
      </c>
      <c r="O16" s="29">
        <v>100</v>
      </c>
      <c r="P16" s="29" t="s">
        <v>1018</v>
      </c>
      <c r="Q16" s="29" t="s">
        <v>1016</v>
      </c>
      <c r="R16" s="29" t="s">
        <v>1017</v>
      </c>
      <c r="S16" s="29">
        <v>233.31</v>
      </c>
      <c r="T16" s="15"/>
      <c r="U16" s="15"/>
      <c r="V16" s="43"/>
      <c r="W16" s="15"/>
      <c r="X16" s="15"/>
      <c r="Y16" s="29" t="s">
        <v>1018</v>
      </c>
      <c r="Z16" s="15" t="s">
        <v>1129</v>
      </c>
      <c r="AA16" s="29" t="s">
        <v>378</v>
      </c>
      <c r="AB16" s="29" t="s">
        <v>1095</v>
      </c>
      <c r="AC16" s="29" t="s">
        <v>37</v>
      </c>
      <c r="AD16" s="29" t="s">
        <v>1018</v>
      </c>
      <c r="AE16" s="29" t="s">
        <v>1130</v>
      </c>
      <c r="AF16" s="29" t="s">
        <v>1016</v>
      </c>
      <c r="AG16" s="29"/>
    </row>
    <row r="17" customHeight="1" spans="1:310">
      <c r="A17" s="28" t="s">
        <v>1005</v>
      </c>
      <c r="B17" s="29" t="s">
        <v>1022</v>
      </c>
      <c r="C17" s="29" t="s">
        <v>1023</v>
      </c>
      <c r="D17" s="63" t="s">
        <v>134</v>
      </c>
      <c r="E17" s="63" t="s">
        <v>561</v>
      </c>
      <c r="F17" s="31" t="s">
        <v>1131</v>
      </c>
      <c r="G17" s="31" t="s">
        <v>1132</v>
      </c>
      <c r="H17" s="63">
        <v>12</v>
      </c>
      <c r="I17" s="29">
        <v>2022</v>
      </c>
      <c r="J17" s="29" t="s">
        <v>1133</v>
      </c>
      <c r="K17" s="29" t="s">
        <v>1134</v>
      </c>
      <c r="L17" s="29">
        <v>1</v>
      </c>
      <c r="M17" s="29" t="s">
        <v>1013</v>
      </c>
      <c r="N17" s="29" t="s">
        <v>1014</v>
      </c>
      <c r="O17" s="29" t="s">
        <v>1135</v>
      </c>
      <c r="P17" s="29" t="s">
        <v>1016</v>
      </c>
      <c r="Q17" s="29" t="s">
        <v>1018</v>
      </c>
      <c r="R17" s="29" t="s">
        <v>1017</v>
      </c>
      <c r="S17" s="29">
        <v>288.91</v>
      </c>
      <c r="T17" s="15"/>
      <c r="U17" s="15"/>
      <c r="V17" s="43"/>
      <c r="W17" s="15"/>
      <c r="X17" s="15"/>
      <c r="Y17" s="29" t="s">
        <v>1136</v>
      </c>
      <c r="Z17" s="29" t="s">
        <v>1137</v>
      </c>
      <c r="AA17" s="29" t="s">
        <v>1138</v>
      </c>
      <c r="AB17" s="29" t="s">
        <v>1139</v>
      </c>
      <c r="AC17" s="29" t="s">
        <v>37</v>
      </c>
      <c r="AD17" s="29" t="s">
        <v>1018</v>
      </c>
      <c r="AE17" s="29" t="s">
        <v>1140</v>
      </c>
      <c r="AF17" s="29" t="s">
        <v>1016</v>
      </c>
      <c r="AG17" s="15"/>
    </row>
    <row r="18" s="11" customFormat="1" customHeight="1" spans="1:310">
      <c r="A18" s="28" t="s">
        <v>1005</v>
      </c>
      <c r="B18" s="32" t="s">
        <v>1022</v>
      </c>
      <c r="C18" s="32" t="s">
        <v>1032</v>
      </c>
      <c r="D18" s="32" t="s">
        <v>134</v>
      </c>
      <c r="E18" s="32" t="s">
        <v>903</v>
      </c>
      <c r="F18" s="31" t="s">
        <v>1141</v>
      </c>
      <c r="G18" s="31" t="s">
        <v>1142</v>
      </c>
      <c r="H18" s="32">
        <v>12</v>
      </c>
      <c r="I18" s="32">
        <v>2022</v>
      </c>
      <c r="J18" s="36" t="s">
        <v>1044</v>
      </c>
      <c r="K18" s="36" t="s">
        <v>1143</v>
      </c>
      <c r="L18" s="32">
        <v>1</v>
      </c>
      <c r="M18" s="36" t="s">
        <v>1144</v>
      </c>
      <c r="N18" s="36" t="s">
        <v>1145</v>
      </c>
      <c r="O18" s="32">
        <v>78</v>
      </c>
      <c r="P18" s="32" t="s">
        <v>1016</v>
      </c>
      <c r="Q18" s="32" t="s">
        <v>1018</v>
      </c>
      <c r="R18" s="32" t="s">
        <v>1017</v>
      </c>
      <c r="S18" s="49">
        <v>417.5</v>
      </c>
      <c r="T18" s="32">
        <f>76/3</f>
        <v>25.3333333333333</v>
      </c>
      <c r="U18" s="32">
        <v>2025.12</v>
      </c>
      <c r="V18" s="33">
        <f>T18/S18</f>
        <v>0.0606786427145709</v>
      </c>
      <c r="W18" s="39">
        <f>4797/76/78</f>
        <v>0.809210526315789</v>
      </c>
      <c r="X18" s="39" t="s">
        <v>1146</v>
      </c>
      <c r="Y18" s="32" t="s">
        <v>1018</v>
      </c>
      <c r="Z18" s="32" t="s">
        <v>1147</v>
      </c>
      <c r="AA18" s="29" t="s">
        <v>36</v>
      </c>
      <c r="AB18" s="15" t="s">
        <v>1148</v>
      </c>
      <c r="AC18" s="32" t="s">
        <v>37</v>
      </c>
      <c r="AD18" s="32" t="s">
        <v>1018</v>
      </c>
      <c r="AE18" s="29" t="s">
        <v>1016</v>
      </c>
      <c r="AF18" s="30" t="s">
        <v>1018</v>
      </c>
      <c r="AG18" s="32" t="s">
        <v>1149</v>
      </c>
      <c r="II18" s="9"/>
      <c r="IJ18" s="16"/>
      <c r="IK18" s="16"/>
      <c r="IL18" s="16"/>
      <c r="IM18" s="16"/>
      <c r="IN18" s="16"/>
      <c r="IO18" s="16"/>
      <c r="IP18" s="16"/>
      <c r="IQ18" s="16"/>
      <c r="IR18" s="16"/>
      <c r="IS18" s="16"/>
      <c r="IT18" s="16"/>
      <c r="IU18" s="16"/>
      <c r="IV18" s="16"/>
      <c r="IW18" s="16"/>
      <c r="IX18" s="16"/>
      <c r="IY18" s="16"/>
      <c r="IZ18" s="16"/>
      <c r="JA18" s="16"/>
      <c r="JB18" s="16"/>
      <c r="JC18" s="16"/>
      <c r="JD18" s="16"/>
      <c r="JE18" s="16"/>
      <c r="JF18" s="16"/>
      <c r="JG18" s="16"/>
      <c r="JH18" s="16"/>
      <c r="JI18" s="16"/>
      <c r="JJ18" s="16"/>
      <c r="JK18" s="16"/>
      <c r="JL18" s="16"/>
      <c r="JM18" s="16"/>
      <c r="JN18" s="16"/>
      <c r="JO18" s="16"/>
      <c r="JP18" s="16"/>
      <c r="JQ18" s="16"/>
      <c r="JR18" s="16"/>
      <c r="JS18" s="16"/>
      <c r="JT18" s="16"/>
      <c r="JU18" s="16"/>
      <c r="JV18" s="16"/>
      <c r="JW18" s="16"/>
      <c r="JX18" s="16"/>
      <c r="JY18" s="16"/>
      <c r="JZ18" s="16"/>
      <c r="KA18" s="16"/>
      <c r="KB18" s="16"/>
      <c r="KC18" s="16"/>
      <c r="KD18" s="16"/>
      <c r="KE18" s="16"/>
      <c r="KF18" s="16"/>
      <c r="KG18" s="16"/>
      <c r="KH18" s="16"/>
      <c r="KI18" s="16"/>
      <c r="KJ18" s="16"/>
      <c r="KK18" s="16"/>
      <c r="KL18" s="16"/>
      <c r="KM18" s="16"/>
      <c r="KN18" s="16"/>
      <c r="KO18" s="16"/>
      <c r="KP18" s="16"/>
      <c r="KQ18" s="16"/>
      <c r="KR18" s="16"/>
      <c r="KS18" s="16"/>
      <c r="KT18" s="16"/>
      <c r="KU18" s="16"/>
      <c r="KV18" s="16"/>
      <c r="KW18" s="9"/>
      <c r="KX18" s="9"/>
    </row>
    <row r="19" s="10" customFormat="1" customHeight="1" spans="1:310">
      <c r="A19" s="28" t="s">
        <v>1005</v>
      </c>
      <c r="B19" s="32" t="s">
        <v>1022</v>
      </c>
      <c r="C19" s="29" t="s">
        <v>1150</v>
      </c>
      <c r="D19" s="29" t="s">
        <v>1151</v>
      </c>
      <c r="E19" s="30" t="s">
        <v>833</v>
      </c>
      <c r="F19" s="31" t="s">
        <v>833</v>
      </c>
      <c r="G19" s="31" t="s">
        <v>1152</v>
      </c>
      <c r="H19" s="29" t="s">
        <v>1153</v>
      </c>
      <c r="I19" s="29">
        <v>2021</v>
      </c>
      <c r="J19" s="29" t="s">
        <v>1153</v>
      </c>
      <c r="K19" s="29" t="s">
        <v>1153</v>
      </c>
      <c r="L19" s="29" t="s">
        <v>1153</v>
      </c>
      <c r="M19" s="29" t="s">
        <v>1154</v>
      </c>
      <c r="N19" s="29" t="s">
        <v>1155</v>
      </c>
      <c r="O19" s="29" t="s">
        <v>1156</v>
      </c>
      <c r="P19" s="29" t="s">
        <v>1016</v>
      </c>
      <c r="Q19" s="29" t="s">
        <v>1018</v>
      </c>
      <c r="R19" s="29" t="s">
        <v>1017</v>
      </c>
      <c r="S19" s="30">
        <v>9936.6</v>
      </c>
      <c r="T19" s="51">
        <v>57</v>
      </c>
      <c r="U19" s="45" t="s">
        <v>1157</v>
      </c>
      <c r="V19" s="64">
        <f>T19/S19</f>
        <v>0.00573636857677676</v>
      </c>
      <c r="W19" s="34"/>
      <c r="X19" s="34" t="s">
        <v>1158</v>
      </c>
      <c r="Y19" s="29" t="s">
        <v>1018</v>
      </c>
      <c r="Z19" s="29" t="s">
        <v>1159</v>
      </c>
      <c r="AA19" s="29" t="s">
        <v>36</v>
      </c>
      <c r="AB19" s="35">
        <v>0.5</v>
      </c>
      <c r="AC19" s="29" t="s">
        <v>37</v>
      </c>
      <c r="AD19" s="29" t="s">
        <v>1016</v>
      </c>
      <c r="AE19" s="29"/>
      <c r="AF19" s="29"/>
      <c r="AG19" s="29" t="s">
        <v>134</v>
      </c>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16"/>
      <c r="IJ19" s="16"/>
      <c r="IK19" s="16"/>
      <c r="IL19" s="16"/>
      <c r="IM19" s="16"/>
      <c r="IN19" s="16"/>
      <c r="IO19" s="16"/>
      <c r="IP19" s="16"/>
      <c r="IQ19" s="16"/>
      <c r="IR19" s="16"/>
      <c r="IS19" s="16"/>
      <c r="IT19" s="16"/>
      <c r="IU19" s="16"/>
      <c r="IV19" s="16"/>
      <c r="IW19" s="16"/>
      <c r="IX19" s="16"/>
      <c r="IY19" s="16"/>
      <c r="IZ19" s="16"/>
      <c r="JA19" s="16"/>
      <c r="JB19" s="16"/>
      <c r="JC19" s="16"/>
      <c r="JD19" s="16"/>
      <c r="JE19" s="16"/>
      <c r="JF19" s="16"/>
      <c r="JG19" s="16"/>
      <c r="JH19" s="16"/>
      <c r="JI19" s="16"/>
      <c r="JJ19" s="16"/>
      <c r="JK19" s="16"/>
      <c r="JL19" s="16"/>
      <c r="JM19" s="16"/>
      <c r="JN19" s="16"/>
      <c r="JO19" s="16"/>
      <c r="JP19" s="16"/>
      <c r="JQ19" s="16"/>
      <c r="JR19" s="16"/>
      <c r="JS19" s="16"/>
      <c r="JT19" s="16"/>
      <c r="JU19" s="16"/>
      <c r="JV19" s="16"/>
      <c r="JW19" s="16"/>
      <c r="JX19" s="16"/>
      <c r="JY19" s="16"/>
      <c r="JZ19" s="16"/>
      <c r="KA19" s="16"/>
      <c r="KB19" s="16"/>
      <c r="KC19" s="16"/>
      <c r="KD19" s="16"/>
      <c r="KE19" s="16"/>
      <c r="KF19" s="16"/>
      <c r="KG19" s="16"/>
      <c r="KH19" s="16"/>
      <c r="KI19" s="16"/>
      <c r="KJ19" s="16"/>
      <c r="KK19" s="16"/>
      <c r="KL19" s="16"/>
      <c r="KM19" s="16"/>
      <c r="KN19" s="16"/>
      <c r="KO19" s="16"/>
      <c r="KP19" s="16"/>
      <c r="KQ19" s="16"/>
      <c r="KR19" s="16"/>
      <c r="KS19" s="16"/>
      <c r="KT19" s="16"/>
      <c r="KU19" s="16"/>
      <c r="KV19" s="16"/>
      <c r="KW19" s="12"/>
      <c r="KX19" s="12"/>
    </row>
    <row r="20" s="11" customFormat="1" customHeight="1" spans="1:310">
      <c r="A20" s="28" t="s">
        <v>1005</v>
      </c>
      <c r="B20" s="32" t="s">
        <v>1022</v>
      </c>
      <c r="C20" s="32" t="s">
        <v>1057</v>
      </c>
      <c r="D20" s="32" t="s">
        <v>134</v>
      </c>
      <c r="E20" s="32" t="s">
        <v>219</v>
      </c>
      <c r="F20" s="31" t="s">
        <v>231</v>
      </c>
      <c r="G20" s="31" t="s">
        <v>232</v>
      </c>
      <c r="H20" s="30">
        <v>12</v>
      </c>
      <c r="I20" s="32">
        <v>2020</v>
      </c>
      <c r="J20" s="36" t="s">
        <v>1160</v>
      </c>
      <c r="K20" s="36" t="s">
        <v>1012</v>
      </c>
      <c r="L20" s="32">
        <v>1</v>
      </c>
      <c r="M20" s="29" t="s">
        <v>1013</v>
      </c>
      <c r="N20" s="29" t="s">
        <v>1014</v>
      </c>
      <c r="O20" s="32">
        <v>100</v>
      </c>
      <c r="P20" s="32" t="s">
        <v>1018</v>
      </c>
      <c r="Q20" s="32" t="s">
        <v>1016</v>
      </c>
      <c r="R20" s="32" t="s">
        <v>1039</v>
      </c>
      <c r="S20" s="37">
        <v>250.74</v>
      </c>
      <c r="T20" s="32">
        <v>150</v>
      </c>
      <c r="U20" s="32" t="s">
        <v>1161</v>
      </c>
      <c r="V20" s="33">
        <f>T20/S20</f>
        <v>0.598229241445322</v>
      </c>
      <c r="W20" s="39">
        <v>0.954</v>
      </c>
      <c r="X20" s="39" t="s">
        <v>1162</v>
      </c>
      <c r="Y20" s="32" t="s">
        <v>1018</v>
      </c>
      <c r="Z20" s="32" t="s">
        <v>1163</v>
      </c>
      <c r="AA20" s="32" t="s">
        <v>1164</v>
      </c>
      <c r="AB20" s="32" t="s">
        <v>1165</v>
      </c>
      <c r="AC20" s="32" t="s">
        <v>1166</v>
      </c>
      <c r="AD20" s="32" t="s">
        <v>1018</v>
      </c>
      <c r="AE20" s="29" t="s">
        <v>1016</v>
      </c>
      <c r="AF20" s="30" t="s">
        <v>1018</v>
      </c>
      <c r="AG20" s="41" t="s">
        <v>1167</v>
      </c>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10"/>
      <c r="IK20" s="10"/>
      <c r="IL20" s="10"/>
      <c r="IM20" s="10"/>
      <c r="IN20" s="10"/>
      <c r="IO20" s="10"/>
      <c r="IP20" s="10"/>
      <c r="IQ20" s="10"/>
      <c r="IR20" s="10"/>
      <c r="IS20" s="10"/>
      <c r="IT20" s="10"/>
      <c r="IU20" s="10"/>
      <c r="IV20" s="10"/>
      <c r="IW20" s="10"/>
      <c r="IX20" s="10"/>
      <c r="IY20" s="10"/>
      <c r="IZ20" s="10"/>
      <c r="JA20" s="10"/>
      <c r="JB20" s="10"/>
      <c r="JC20" s="10"/>
      <c r="JD20" s="10"/>
      <c r="JE20" s="10"/>
      <c r="JF20" s="10"/>
      <c r="JG20" s="10"/>
      <c r="JH20" s="10"/>
      <c r="JI20" s="10"/>
      <c r="JJ20" s="10"/>
      <c r="JK20" s="10"/>
      <c r="JL20" s="10"/>
      <c r="JM20" s="10"/>
      <c r="JN20" s="10"/>
      <c r="JO20" s="10"/>
      <c r="JP20" s="10"/>
      <c r="JQ20" s="10"/>
      <c r="JR20" s="10"/>
      <c r="JS20" s="10"/>
      <c r="JT20" s="10"/>
      <c r="JU20" s="10"/>
      <c r="JV20" s="10"/>
      <c r="JW20" s="10"/>
      <c r="JX20" s="10"/>
      <c r="JY20" s="10"/>
      <c r="JZ20" s="10"/>
      <c r="KA20" s="10"/>
      <c r="KB20" s="10"/>
      <c r="KC20" s="10"/>
      <c r="KD20" s="10"/>
      <c r="KE20" s="10"/>
      <c r="KF20" s="10"/>
      <c r="KG20" s="10"/>
      <c r="KH20" s="10"/>
      <c r="KI20" s="10"/>
      <c r="KJ20" s="10"/>
      <c r="KK20" s="10"/>
      <c r="KL20" s="10"/>
      <c r="KM20" s="10"/>
      <c r="KN20" s="10"/>
      <c r="KO20" s="10"/>
      <c r="KP20" s="10"/>
      <c r="KQ20" s="10"/>
      <c r="KR20" s="10"/>
      <c r="KS20" s="10"/>
      <c r="KT20" s="10"/>
      <c r="KU20" s="10"/>
      <c r="KV20" s="10"/>
      <c r="KW20" s="9"/>
      <c r="KX20" s="9"/>
    </row>
    <row r="21" s="16" customFormat="1" customHeight="1" spans="1:310">
      <c r="A21" s="28" t="s">
        <v>1005</v>
      </c>
      <c r="B21" s="32" t="s">
        <v>1022</v>
      </c>
      <c r="C21" s="30" t="s">
        <v>1057</v>
      </c>
      <c r="D21" s="30" t="s">
        <v>1058</v>
      </c>
      <c r="E21" s="30" t="s">
        <v>869</v>
      </c>
      <c r="F21" s="31" t="s">
        <v>1168</v>
      </c>
      <c r="G21" s="31" t="s">
        <v>1169</v>
      </c>
      <c r="H21" s="30">
        <v>12</v>
      </c>
      <c r="I21" s="37">
        <v>2021</v>
      </c>
      <c r="J21" s="36" t="s">
        <v>1126</v>
      </c>
      <c r="K21" s="36" t="s">
        <v>1091</v>
      </c>
      <c r="L21" s="30">
        <v>3</v>
      </c>
      <c r="M21" s="36" t="s">
        <v>1170</v>
      </c>
      <c r="N21" s="36" t="s">
        <v>1171</v>
      </c>
      <c r="O21" s="30" t="s">
        <v>1172</v>
      </c>
      <c r="P21" s="32" t="s">
        <v>1016</v>
      </c>
      <c r="Q21" s="32" t="s">
        <v>1018</v>
      </c>
      <c r="R21" s="32" t="s">
        <v>1017</v>
      </c>
      <c r="S21" s="60">
        <v>1377.4</v>
      </c>
      <c r="T21" s="51">
        <v>30</v>
      </c>
      <c r="U21" s="51">
        <v>2024.03</v>
      </c>
      <c r="V21" s="33">
        <f>T21/S21</f>
        <v>0.021780165529258</v>
      </c>
      <c r="W21" s="65"/>
      <c r="X21" s="65" t="s">
        <v>1173</v>
      </c>
      <c r="Y21" s="32" t="s">
        <v>1174</v>
      </c>
      <c r="Z21" s="32" t="s">
        <v>1175</v>
      </c>
      <c r="AA21" s="32" t="s">
        <v>1176</v>
      </c>
      <c r="AB21" s="49" t="s">
        <v>1177</v>
      </c>
      <c r="AC21" s="32" t="s">
        <v>65</v>
      </c>
      <c r="AD21" s="32" t="s">
        <v>1018</v>
      </c>
      <c r="AE21" s="29" t="s">
        <v>1016</v>
      </c>
      <c r="AF21" s="30" t="s">
        <v>1018</v>
      </c>
      <c r="AG21" s="66"/>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12"/>
      <c r="IK21" s="12"/>
      <c r="IL21" s="12"/>
      <c r="IM21" s="12"/>
      <c r="IN21" s="12"/>
      <c r="IO21" s="12"/>
      <c r="IP21" s="12"/>
      <c r="IQ21" s="12"/>
      <c r="IR21" s="12"/>
      <c r="IS21" s="12"/>
      <c r="IT21" s="12"/>
      <c r="IU21" s="12"/>
      <c r="IV21" s="12"/>
      <c r="IW21" s="12"/>
      <c r="IX21" s="12"/>
      <c r="IY21" s="12"/>
      <c r="IZ21" s="12"/>
      <c r="JA21" s="12"/>
      <c r="JB21" s="12"/>
      <c r="JC21" s="12"/>
      <c r="JD21" s="12"/>
      <c r="JE21" s="12"/>
      <c r="JF21" s="12"/>
      <c r="JG21" s="12"/>
      <c r="JH21" s="12"/>
      <c r="JI21" s="12"/>
      <c r="JJ21" s="12"/>
      <c r="JK21" s="12"/>
      <c r="JL21" s="12"/>
      <c r="JM21" s="12"/>
      <c r="JN21" s="12"/>
      <c r="JO21" s="12"/>
      <c r="JP21" s="12"/>
      <c r="JQ21" s="12"/>
      <c r="JR21" s="12"/>
      <c r="JS21" s="12"/>
      <c r="JT21" s="12"/>
      <c r="JU21" s="12"/>
      <c r="JV21" s="12"/>
      <c r="JW21" s="12"/>
      <c r="JX21" s="12"/>
      <c r="JY21" s="12"/>
      <c r="JZ21" s="12"/>
      <c r="KA21" s="12"/>
      <c r="KB21" s="12"/>
      <c r="KC21" s="12"/>
      <c r="KD21" s="12"/>
      <c r="KE21" s="12"/>
      <c r="KF21" s="12"/>
      <c r="KG21" s="12"/>
      <c r="KH21" s="12"/>
      <c r="KI21" s="12"/>
      <c r="KJ21" s="12"/>
      <c r="KK21" s="12"/>
      <c r="KL21" s="12"/>
      <c r="KM21" s="12"/>
      <c r="KN21" s="12"/>
      <c r="KO21" s="12"/>
      <c r="KP21" s="12"/>
      <c r="KQ21" s="12"/>
      <c r="KR21" s="12"/>
      <c r="KS21" s="12"/>
      <c r="KT21" s="12"/>
      <c r="KU21" s="12"/>
      <c r="KV21" s="12"/>
      <c r="KW21" s="11"/>
      <c r="KX21" s="11"/>
    </row>
    <row r="22" s="16" customFormat="1" ht="23" customHeight="1" spans="1:310">
      <c r="A22" s="28" t="s">
        <v>1005</v>
      </c>
      <c r="B22" s="29" t="s">
        <v>1022</v>
      </c>
      <c r="C22" s="29" t="s">
        <v>1057</v>
      </c>
      <c r="D22" s="29" t="s">
        <v>134</v>
      </c>
      <c r="E22" s="30" t="s">
        <v>869</v>
      </c>
      <c r="F22" s="31" t="s">
        <v>1178</v>
      </c>
      <c r="G22" s="31" t="s">
        <v>1179</v>
      </c>
      <c r="H22" s="29">
        <v>12</v>
      </c>
      <c r="I22" s="30">
        <v>2023</v>
      </c>
      <c r="J22" s="29" t="s">
        <v>1180</v>
      </c>
      <c r="K22" s="29" t="s">
        <v>1012</v>
      </c>
      <c r="L22" s="29">
        <v>1</v>
      </c>
      <c r="M22" s="29" t="s">
        <v>1013</v>
      </c>
      <c r="N22" s="29" t="s">
        <v>1014</v>
      </c>
      <c r="O22" s="29">
        <v>100</v>
      </c>
      <c r="P22" s="29" t="s">
        <v>1018</v>
      </c>
      <c r="Q22" s="29" t="s">
        <v>1016</v>
      </c>
      <c r="R22" s="29" t="s">
        <v>1017</v>
      </c>
      <c r="S22" s="30">
        <v>107.94</v>
      </c>
      <c r="T22" s="29"/>
      <c r="U22" s="29">
        <v>2025.4</v>
      </c>
      <c r="V22" s="33">
        <v>0.06</v>
      </c>
      <c r="W22" s="34"/>
      <c r="X22" s="34" t="s">
        <v>1181</v>
      </c>
      <c r="Y22" s="29" t="s">
        <v>1018</v>
      </c>
      <c r="Z22" s="29" t="s">
        <v>1182</v>
      </c>
      <c r="AA22" s="29" t="s">
        <v>1183</v>
      </c>
      <c r="AB22" s="35" t="s">
        <v>1184</v>
      </c>
      <c r="AC22" s="29" t="s">
        <v>1185</v>
      </c>
      <c r="AD22" s="29" t="s">
        <v>1018</v>
      </c>
      <c r="AE22" s="30" t="s">
        <v>1186</v>
      </c>
      <c r="AF22" s="30" t="s">
        <v>1018</v>
      </c>
      <c r="AG22" s="32"/>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12"/>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c r="KU22" s="9"/>
      <c r="KV22" s="9"/>
      <c r="KW22" s="10"/>
      <c r="KX22" s="10"/>
    </row>
    <row r="23" s="11" customFormat="1" ht="22.5" customHeight="1" spans="1:310">
      <c r="A23" s="28" t="s">
        <v>1005</v>
      </c>
      <c r="B23" s="29" t="s">
        <v>1022</v>
      </c>
      <c r="C23" s="32" t="s">
        <v>1007</v>
      </c>
      <c r="D23" s="32" t="s">
        <v>134</v>
      </c>
      <c r="E23" s="32" t="s">
        <v>678</v>
      </c>
      <c r="F23" s="31" t="s">
        <v>1187</v>
      </c>
      <c r="G23" s="31" t="s">
        <v>1188</v>
      </c>
      <c r="H23" s="30">
        <v>12</v>
      </c>
      <c r="I23" s="32">
        <v>2023</v>
      </c>
      <c r="J23" s="36" t="s">
        <v>1189</v>
      </c>
      <c r="K23" s="36" t="s">
        <v>1091</v>
      </c>
      <c r="L23" s="32">
        <v>1</v>
      </c>
      <c r="M23" s="29" t="s">
        <v>1013</v>
      </c>
      <c r="N23" s="29" t="s">
        <v>1014</v>
      </c>
      <c r="O23" s="32" t="s">
        <v>1190</v>
      </c>
      <c r="P23" s="32" t="s">
        <v>1018</v>
      </c>
      <c r="Q23" s="29" t="s">
        <v>1016</v>
      </c>
      <c r="R23" s="32" t="s">
        <v>1039</v>
      </c>
      <c r="S23" s="38">
        <v>595.21</v>
      </c>
      <c r="T23" s="32">
        <v>66</v>
      </c>
      <c r="U23" s="32" t="s">
        <v>1191</v>
      </c>
      <c r="V23" s="33">
        <f>T23/S23</f>
        <v>0.110885233783035</v>
      </c>
      <c r="W23" s="39"/>
      <c r="X23" s="39"/>
      <c r="Y23" s="32" t="s">
        <v>1018</v>
      </c>
      <c r="Z23" s="32" t="s">
        <v>1192</v>
      </c>
      <c r="AA23" s="32" t="s">
        <v>422</v>
      </c>
      <c r="AB23" s="40" t="s">
        <v>1193</v>
      </c>
      <c r="AC23" s="32" t="s">
        <v>37</v>
      </c>
      <c r="AD23" s="32" t="s">
        <v>1018</v>
      </c>
      <c r="AE23" s="32"/>
      <c r="AF23" s="32"/>
      <c r="AG23" s="41" t="s">
        <v>1194</v>
      </c>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II23" s="16"/>
      <c r="IJ23" s="10"/>
      <c r="IK23" s="10"/>
      <c r="IL23" s="10"/>
      <c r="IM23" s="10"/>
      <c r="IN23" s="10"/>
      <c r="IO23" s="10"/>
      <c r="IP23" s="10"/>
      <c r="IQ23" s="10"/>
      <c r="IR23" s="10"/>
      <c r="IS23" s="10"/>
      <c r="IT23" s="10"/>
      <c r="IU23" s="10"/>
      <c r="IV23" s="10"/>
      <c r="IW23" s="10"/>
      <c r="IX23" s="10"/>
      <c r="IY23" s="10"/>
      <c r="IZ23" s="10"/>
      <c r="JA23" s="10"/>
      <c r="JB23" s="10"/>
      <c r="JC23" s="10"/>
      <c r="JD23" s="10"/>
      <c r="JE23" s="10"/>
      <c r="JF23" s="10"/>
      <c r="JG23" s="10"/>
      <c r="JH23" s="10"/>
      <c r="JI23" s="10"/>
      <c r="JJ23" s="10"/>
      <c r="JK23" s="10"/>
      <c r="JL23" s="10"/>
      <c r="JM23" s="10"/>
      <c r="JN23" s="10"/>
      <c r="JO23" s="10"/>
      <c r="JP23" s="10"/>
      <c r="JQ23" s="10"/>
      <c r="JR23" s="10"/>
      <c r="JS23" s="10"/>
      <c r="JT23" s="10"/>
      <c r="JU23" s="10"/>
      <c r="JV23" s="10"/>
      <c r="JW23" s="10"/>
      <c r="JX23" s="10"/>
      <c r="JY23" s="10"/>
      <c r="JZ23" s="10"/>
      <c r="KA23" s="10"/>
      <c r="KB23" s="10"/>
      <c r="KC23" s="10"/>
      <c r="KD23" s="10"/>
      <c r="KE23" s="10"/>
      <c r="KF23" s="10"/>
      <c r="KG23" s="10"/>
      <c r="KH23" s="10"/>
      <c r="KI23" s="10"/>
      <c r="KJ23" s="10"/>
      <c r="KK23" s="10"/>
      <c r="KL23" s="10"/>
      <c r="KM23" s="10"/>
      <c r="KN23" s="10"/>
      <c r="KO23" s="10"/>
      <c r="KP23" s="10"/>
      <c r="KQ23" s="10"/>
      <c r="KR23" s="10"/>
      <c r="KS23" s="10"/>
      <c r="KT23" s="10"/>
      <c r="KU23" s="10"/>
      <c r="KV23" s="10"/>
      <c r="KW23" s="10"/>
      <c r="KX23" s="10"/>
    </row>
    <row r="24" s="10" customFormat="1" customHeight="1" spans="1:310">
      <c r="A24" s="30"/>
      <c r="B24" s="30"/>
      <c r="C24" s="29" t="s">
        <v>1023</v>
      </c>
      <c r="D24" s="52" t="s">
        <v>1047</v>
      </c>
      <c r="E24" s="29" t="s">
        <v>1048</v>
      </c>
      <c r="F24" s="32" t="s">
        <v>1195</v>
      </c>
      <c r="G24" s="32" t="s">
        <v>1196</v>
      </c>
      <c r="H24" s="30">
        <v>10</v>
      </c>
      <c r="I24" s="30">
        <v>2024</v>
      </c>
      <c r="J24" s="30" t="s">
        <v>1197</v>
      </c>
      <c r="K24" s="30" t="s">
        <v>1198</v>
      </c>
      <c r="L24" s="30">
        <v>1</v>
      </c>
      <c r="M24" s="30" t="s">
        <v>1199</v>
      </c>
      <c r="N24" s="30" t="s">
        <v>1012</v>
      </c>
      <c r="O24" s="30" t="s">
        <v>1200</v>
      </c>
      <c r="P24" s="30" t="s">
        <v>1018</v>
      </c>
      <c r="Q24" s="30" t="s">
        <v>1018</v>
      </c>
      <c r="R24" s="30" t="s">
        <v>1017</v>
      </c>
      <c r="S24" s="30">
        <v>408.48</v>
      </c>
      <c r="T24" s="30">
        <v>5.24</v>
      </c>
      <c r="U24" s="30">
        <v>2024.11</v>
      </c>
      <c r="V24" s="67">
        <v>0.06</v>
      </c>
      <c r="W24" s="30"/>
      <c r="X24" s="30"/>
      <c r="Y24" s="30" t="s">
        <v>1018</v>
      </c>
      <c r="Z24" s="30" t="s">
        <v>1201</v>
      </c>
      <c r="AA24" s="30" t="s">
        <v>1202</v>
      </c>
      <c r="AB24" s="30" t="s">
        <v>1203</v>
      </c>
      <c r="AC24" s="30" t="s">
        <v>1204</v>
      </c>
      <c r="AD24" s="30" t="s">
        <v>1018</v>
      </c>
      <c r="AE24" s="30"/>
      <c r="AF24" s="30"/>
      <c r="AG24" s="30"/>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9"/>
      <c r="IK24" s="9"/>
      <c r="IL24" s="9"/>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c r="JV24" s="9"/>
      <c r="JW24" s="9"/>
      <c r="JX24" s="9"/>
      <c r="JY24" s="9"/>
      <c r="JZ24" s="9"/>
      <c r="KA24" s="9"/>
      <c r="KB24" s="9"/>
      <c r="KC24" s="9"/>
      <c r="KD24" s="9"/>
      <c r="KE24" s="9"/>
      <c r="KF24" s="9"/>
      <c r="KG24" s="9"/>
      <c r="KH24" s="9"/>
      <c r="KI24" s="9"/>
      <c r="KJ24" s="9"/>
      <c r="KK24" s="9"/>
      <c r="KL24" s="9"/>
      <c r="KM24" s="9"/>
      <c r="KN24" s="9"/>
      <c r="KO24" s="9"/>
      <c r="KP24" s="9"/>
      <c r="KQ24" s="9"/>
      <c r="KR24" s="9"/>
      <c r="KS24" s="9"/>
      <c r="KT24" s="9"/>
      <c r="KU24" s="9"/>
      <c r="KV24" s="9"/>
      <c r="KW24" s="22"/>
      <c r="KX24" s="22"/>
    </row>
    <row r="25" s="10" customFormat="1" customHeight="1" spans="1:310">
      <c r="A25" s="32"/>
      <c r="B25" s="32"/>
      <c r="C25" s="30" t="s">
        <v>1023</v>
      </c>
      <c r="D25" s="30" t="s">
        <v>1047</v>
      </c>
      <c r="E25" s="30" t="s">
        <v>621</v>
      </c>
      <c r="F25" s="30" t="s">
        <v>621</v>
      </c>
      <c r="G25" s="30" t="s">
        <v>1205</v>
      </c>
      <c r="H25" s="30">
        <v>11</v>
      </c>
      <c r="I25" s="30">
        <v>2022</v>
      </c>
      <c r="J25" s="36" t="s">
        <v>1206</v>
      </c>
      <c r="K25" s="36" t="s">
        <v>1207</v>
      </c>
      <c r="L25" s="30">
        <v>1</v>
      </c>
      <c r="M25" s="36" t="s">
        <v>1199</v>
      </c>
      <c r="N25" s="36" t="s">
        <v>1012</v>
      </c>
      <c r="O25" s="30">
        <v>99</v>
      </c>
      <c r="P25" s="32" t="s">
        <v>1018</v>
      </c>
      <c r="Q25" s="32" t="s">
        <v>1018</v>
      </c>
      <c r="R25" s="32" t="s">
        <v>1017</v>
      </c>
      <c r="S25" s="29">
        <v>3852</v>
      </c>
      <c r="T25" s="29">
        <v>30</v>
      </c>
      <c r="U25" s="45" t="s">
        <v>1208</v>
      </c>
      <c r="V25" s="33">
        <f>T25/S25</f>
        <v>0.00778816199376947</v>
      </c>
      <c r="W25" s="39">
        <f>1223.45/30/99</f>
        <v>0.411936026936027</v>
      </c>
      <c r="X25" s="39" t="s">
        <v>1209</v>
      </c>
      <c r="Y25" s="32" t="s">
        <v>1174</v>
      </c>
      <c r="Z25" s="32" t="s">
        <v>1210</v>
      </c>
      <c r="AA25" s="32" t="s">
        <v>1211</v>
      </c>
      <c r="AB25" s="49" t="s">
        <v>1212</v>
      </c>
      <c r="AC25" s="32" t="s">
        <v>37</v>
      </c>
      <c r="AD25" s="32" t="s">
        <v>1213</v>
      </c>
      <c r="AE25" s="29" t="s">
        <v>134</v>
      </c>
      <c r="AF25" s="29" t="s">
        <v>1018</v>
      </c>
      <c r="AG25" s="50" t="s">
        <v>1214</v>
      </c>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row>
    <row r="26" s="17" customFormat="1" customHeight="1" spans="1:310">
      <c r="A26" s="29"/>
      <c r="B26" s="29"/>
      <c r="C26" s="29" t="s">
        <v>1007</v>
      </c>
      <c r="D26" s="29" t="s">
        <v>1215</v>
      </c>
      <c r="E26" s="51" t="s">
        <v>1216</v>
      </c>
      <c r="F26" s="29" t="s">
        <v>1216</v>
      </c>
      <c r="G26" s="29" t="s">
        <v>1217</v>
      </c>
      <c r="H26" s="29">
        <v>11</v>
      </c>
      <c r="I26" s="29">
        <v>2021</v>
      </c>
      <c r="J26" s="29" t="s">
        <v>1206</v>
      </c>
      <c r="K26" s="29" t="s">
        <v>1218</v>
      </c>
      <c r="L26" s="29">
        <v>12</v>
      </c>
      <c r="M26" s="29" t="s">
        <v>1219</v>
      </c>
      <c r="N26" s="29" t="s">
        <v>1133</v>
      </c>
      <c r="O26" s="51" t="s">
        <v>1220</v>
      </c>
      <c r="P26" s="51" t="s">
        <v>1018</v>
      </c>
      <c r="Q26" s="51" t="s">
        <v>1016</v>
      </c>
      <c r="R26" s="51" t="s">
        <v>1017</v>
      </c>
      <c r="S26" s="60">
        <v>846</v>
      </c>
      <c r="T26" s="51">
        <v>15</v>
      </c>
      <c r="U26" s="51">
        <v>2025</v>
      </c>
      <c r="V26" s="64">
        <f>T26/S26</f>
        <v>0.0177304964539007</v>
      </c>
      <c r="W26" s="51" t="s">
        <v>1068</v>
      </c>
      <c r="X26" s="51" t="s">
        <v>1221</v>
      </c>
      <c r="Y26" s="51" t="s">
        <v>1018</v>
      </c>
      <c r="Z26" s="51" t="s">
        <v>1222</v>
      </c>
      <c r="AA26" s="51" t="s">
        <v>1183</v>
      </c>
      <c r="AB26" s="51" t="s">
        <v>1223</v>
      </c>
      <c r="AC26" s="51" t="s">
        <v>37</v>
      </c>
      <c r="AD26" s="51" t="s">
        <v>1018</v>
      </c>
      <c r="AE26" s="29" t="s">
        <v>1224</v>
      </c>
      <c r="AF26" s="29" t="s">
        <v>1018</v>
      </c>
      <c r="AG26" s="29" t="s">
        <v>1068</v>
      </c>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68"/>
      <c r="BK26" s="68"/>
      <c r="BL26" s="68"/>
      <c r="BM26" s="68"/>
      <c r="BN26" s="68"/>
      <c r="BO26" s="68"/>
      <c r="BP26" s="68"/>
      <c r="BQ26" s="68"/>
      <c r="BR26" s="68"/>
      <c r="BS26" s="68"/>
      <c r="BT26" s="68"/>
      <c r="BU26" s="68"/>
      <c r="BV26" s="68"/>
      <c r="BW26" s="68"/>
      <c r="BX26" s="68"/>
      <c r="BY26" s="68"/>
      <c r="BZ26" s="68"/>
      <c r="CA26" s="68"/>
      <c r="CB26" s="68"/>
      <c r="CC26" s="68"/>
      <c r="CD26" s="68"/>
      <c r="CE26" s="68"/>
      <c r="CF26" s="68"/>
      <c r="CG26" s="68"/>
      <c r="CH26" s="68"/>
      <c r="CI26" s="68"/>
      <c r="CJ26" s="68"/>
      <c r="CK26" s="68"/>
      <c r="CL26" s="68"/>
      <c r="CM26" s="68"/>
      <c r="CN26" s="68"/>
      <c r="CO26" s="68"/>
      <c r="CP26" s="68"/>
      <c r="CQ26" s="68"/>
      <c r="CR26" s="68"/>
      <c r="CS26" s="68"/>
      <c r="CT26" s="68"/>
      <c r="CU26" s="68"/>
      <c r="CV26" s="68"/>
      <c r="CW26" s="68"/>
      <c r="CX26" s="68"/>
      <c r="CY26" s="68"/>
      <c r="CZ26" s="68"/>
      <c r="DA26" s="68"/>
      <c r="DB26" s="68"/>
      <c r="DC26" s="68"/>
      <c r="DD26" s="68"/>
      <c r="DE26" s="68"/>
      <c r="DF26" s="68"/>
      <c r="DG26" s="68"/>
      <c r="DH26" s="68"/>
      <c r="DI26" s="68"/>
      <c r="DJ26" s="68"/>
      <c r="DK26" s="68"/>
      <c r="DL26" s="68"/>
      <c r="DM26" s="68"/>
      <c r="DN26" s="68"/>
      <c r="DO26" s="68"/>
      <c r="DP26" s="68"/>
      <c r="DQ26" s="68"/>
      <c r="DR26" s="68"/>
      <c r="DS26" s="68"/>
      <c r="DT26" s="68"/>
      <c r="DU26" s="68"/>
      <c r="DV26" s="68"/>
      <c r="DW26" s="68"/>
      <c r="DX26" s="68"/>
      <c r="DY26" s="68"/>
      <c r="DZ26" s="68"/>
      <c r="EA26" s="68"/>
      <c r="EB26" s="68"/>
      <c r="EC26" s="68"/>
      <c r="ED26" s="68"/>
      <c r="EE26" s="68"/>
      <c r="EF26" s="68"/>
      <c r="EG26" s="68"/>
      <c r="EH26" s="68"/>
      <c r="EI26" s="68"/>
      <c r="EJ26" s="68"/>
      <c r="EK26" s="68"/>
      <c r="EL26" s="68"/>
      <c r="EM26" s="68"/>
      <c r="EN26" s="68"/>
      <c r="EO26" s="68"/>
      <c r="EP26" s="68"/>
      <c r="EQ26" s="68"/>
      <c r="ER26" s="68"/>
      <c r="ES26" s="68"/>
      <c r="ET26" s="68"/>
      <c r="EU26" s="68"/>
      <c r="EV26" s="68"/>
      <c r="EW26" s="68"/>
      <c r="EX26" s="68"/>
      <c r="EY26" s="68"/>
      <c r="EZ26" s="68"/>
      <c r="FA26" s="68"/>
      <c r="FB26" s="68"/>
      <c r="FC26" s="68"/>
      <c r="FD26" s="68"/>
      <c r="FE26" s="68"/>
      <c r="FF26" s="68"/>
      <c r="FG26" s="68"/>
      <c r="FH26" s="68"/>
      <c r="FI26" s="68"/>
      <c r="FJ26" s="68"/>
      <c r="FK26" s="68"/>
      <c r="FL26" s="68"/>
      <c r="FM26" s="68"/>
      <c r="FN26" s="68"/>
      <c r="FO26" s="68"/>
      <c r="FP26" s="68"/>
      <c r="FQ26" s="68"/>
      <c r="FR26" s="68"/>
      <c r="FS26" s="68"/>
      <c r="FT26" s="68"/>
      <c r="FU26" s="68"/>
      <c r="FV26" s="68"/>
      <c r="FW26" s="68"/>
      <c r="FX26" s="68"/>
      <c r="FY26" s="68"/>
      <c r="FZ26" s="68"/>
      <c r="GA26" s="68"/>
      <c r="GB26" s="68"/>
      <c r="GC26" s="68"/>
      <c r="GD26" s="68"/>
      <c r="GE26" s="68"/>
      <c r="GF26" s="68"/>
      <c r="GG26" s="68"/>
      <c r="GH26" s="68"/>
      <c r="GI26" s="68"/>
      <c r="GJ26" s="68"/>
      <c r="GK26" s="68"/>
      <c r="GL26" s="68"/>
      <c r="GM26" s="68"/>
      <c r="GN26" s="68"/>
      <c r="GO26" s="68"/>
      <c r="GP26" s="68"/>
      <c r="GQ26" s="68"/>
      <c r="GR26" s="68"/>
      <c r="GS26" s="68"/>
      <c r="GT26" s="68"/>
      <c r="GU26" s="68"/>
      <c r="GV26" s="68"/>
      <c r="GW26" s="68"/>
      <c r="GX26" s="68"/>
      <c r="GY26" s="68"/>
      <c r="GZ26" s="68"/>
      <c r="HA26" s="68"/>
      <c r="HB26" s="68"/>
      <c r="HC26" s="68"/>
      <c r="HD26" s="68"/>
      <c r="HE26" s="68"/>
      <c r="HF26" s="68"/>
      <c r="HG26" s="68"/>
      <c r="HH26" s="68"/>
      <c r="HI26" s="68"/>
      <c r="HJ26" s="68"/>
      <c r="HK26" s="68"/>
      <c r="HL26" s="68"/>
      <c r="HM26" s="68"/>
      <c r="HN26" s="68"/>
      <c r="HO26" s="68"/>
      <c r="HP26" s="68"/>
      <c r="HQ26" s="68"/>
      <c r="HR26" s="68"/>
      <c r="HS26" s="68"/>
      <c r="HT26" s="68"/>
      <c r="HU26" s="68"/>
      <c r="HV26" s="68"/>
      <c r="HW26" s="68"/>
      <c r="HX26" s="9"/>
      <c r="HY26" s="9"/>
      <c r="HZ26" s="9"/>
      <c r="IA26" s="9"/>
      <c r="IB26" s="9"/>
      <c r="IC26" s="9"/>
      <c r="ID26" s="9"/>
      <c r="IE26" s="9"/>
      <c r="IF26" s="9"/>
      <c r="IG26" s="9"/>
      <c r="IH26" s="9"/>
      <c r="II26" s="9"/>
      <c r="IJ26" s="11"/>
      <c r="IK26" s="11"/>
      <c r="IL26" s="11"/>
      <c r="IM26" s="11"/>
      <c r="IN26" s="11"/>
      <c r="IO26" s="11"/>
      <c r="IP26" s="11"/>
      <c r="IQ26" s="11"/>
      <c r="IR26" s="11"/>
      <c r="IS26" s="11"/>
      <c r="IT26" s="11"/>
      <c r="IU26" s="11"/>
      <c r="IV26" s="11"/>
      <c r="IW26" s="11"/>
      <c r="IX26" s="11"/>
      <c r="IY26" s="11"/>
      <c r="IZ26" s="11"/>
      <c r="JA26" s="11"/>
      <c r="JB26" s="11"/>
      <c r="JC26" s="11"/>
      <c r="JD26" s="11"/>
      <c r="JE26" s="11"/>
      <c r="JF26" s="11"/>
      <c r="JG26" s="11"/>
      <c r="JH26" s="11"/>
      <c r="JI26" s="11"/>
      <c r="JJ26" s="11"/>
      <c r="JK26" s="11"/>
      <c r="JL26" s="11"/>
      <c r="JM26" s="11"/>
      <c r="JN26" s="11"/>
      <c r="JO26" s="11"/>
      <c r="JP26" s="11"/>
      <c r="JQ26" s="11"/>
      <c r="JR26" s="11"/>
      <c r="JS26" s="11"/>
      <c r="JT26" s="11"/>
      <c r="JU26" s="11"/>
      <c r="JV26" s="11"/>
      <c r="JW26" s="11"/>
      <c r="JX26" s="11"/>
      <c r="JY26" s="11"/>
      <c r="JZ26" s="11"/>
      <c r="KA26" s="11"/>
      <c r="KB26" s="11"/>
      <c r="KC26" s="11"/>
      <c r="KD26" s="11"/>
      <c r="KE26" s="11"/>
      <c r="KF26" s="11"/>
      <c r="KG26" s="11"/>
      <c r="KH26" s="11"/>
      <c r="KI26" s="11"/>
      <c r="KJ26" s="11"/>
      <c r="KK26" s="11"/>
      <c r="KL26" s="11"/>
      <c r="KM26" s="11"/>
      <c r="KN26" s="11"/>
      <c r="KO26" s="11"/>
      <c r="KP26" s="11"/>
      <c r="KQ26" s="11"/>
      <c r="KR26" s="11"/>
      <c r="KS26" s="11"/>
      <c r="KT26" s="11"/>
      <c r="KU26" s="11"/>
      <c r="KV26" s="11"/>
      <c r="KW26" s="11"/>
      <c r="KX26" s="11"/>
    </row>
    <row r="27" s="10" customFormat="1" customHeight="1" spans="1:310">
      <c r="A27" s="52"/>
      <c r="B27" s="52"/>
      <c r="C27" s="29" t="s">
        <v>1057</v>
      </c>
      <c r="D27" s="29" t="s">
        <v>1058</v>
      </c>
      <c r="E27" s="51" t="s">
        <v>1225</v>
      </c>
      <c r="F27" s="29" t="s">
        <v>1226</v>
      </c>
      <c r="G27" s="52" t="s">
        <v>1227</v>
      </c>
      <c r="H27" s="52">
        <v>11</v>
      </c>
      <c r="I27" s="53">
        <v>2022</v>
      </c>
      <c r="J27" s="52" t="s">
        <v>1228</v>
      </c>
      <c r="K27" s="52" t="s">
        <v>1229</v>
      </c>
      <c r="L27" s="52">
        <v>1</v>
      </c>
      <c r="M27" s="52" t="s">
        <v>1199</v>
      </c>
      <c r="N27" s="52" t="s">
        <v>1012</v>
      </c>
      <c r="O27" s="52">
        <v>123</v>
      </c>
      <c r="P27" s="52" t="s">
        <v>1018</v>
      </c>
      <c r="Q27" s="69"/>
      <c r="R27" s="52" t="s">
        <v>1017</v>
      </c>
      <c r="S27" s="52">
        <v>653.81</v>
      </c>
      <c r="T27" s="53">
        <v>100</v>
      </c>
      <c r="U27" s="52">
        <v>2024.03</v>
      </c>
      <c r="V27" s="54">
        <v>0.153</v>
      </c>
      <c r="W27" s="70">
        <f>9130/100/123</f>
        <v>0.742276422764228</v>
      </c>
      <c r="X27" s="52" t="s">
        <v>1230</v>
      </c>
      <c r="Y27" s="52" t="s">
        <v>1018</v>
      </c>
      <c r="Z27" s="52" t="s">
        <v>1231</v>
      </c>
      <c r="AA27" s="52" t="s">
        <v>36</v>
      </c>
      <c r="AB27" s="52" t="s">
        <v>1232</v>
      </c>
      <c r="AC27" s="52" t="s">
        <v>37</v>
      </c>
      <c r="AD27" s="52" t="s">
        <v>1018</v>
      </c>
      <c r="AE27" s="29" t="s">
        <v>1233</v>
      </c>
      <c r="AF27" s="29" t="s">
        <v>1234</v>
      </c>
      <c r="AG27" s="52"/>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16"/>
      <c r="IK27" s="16"/>
      <c r="IL27" s="16"/>
      <c r="IM27" s="16"/>
      <c r="IN27" s="16"/>
      <c r="IO27" s="16"/>
      <c r="IP27" s="16"/>
      <c r="IQ27" s="16"/>
      <c r="IR27" s="16"/>
      <c r="IS27" s="16"/>
      <c r="IT27" s="16"/>
      <c r="IU27" s="16"/>
      <c r="IV27" s="16"/>
      <c r="IW27" s="16"/>
      <c r="IX27" s="16"/>
      <c r="IY27" s="16"/>
      <c r="IZ27" s="16"/>
      <c r="JA27" s="16"/>
      <c r="JB27" s="16"/>
      <c r="JC27" s="16"/>
      <c r="JD27" s="16"/>
      <c r="JE27" s="16"/>
      <c r="JF27" s="16"/>
      <c r="JG27" s="16"/>
      <c r="JH27" s="16"/>
      <c r="JI27" s="16"/>
      <c r="JJ27" s="16"/>
      <c r="JK27" s="16"/>
      <c r="JL27" s="16"/>
      <c r="JM27" s="16"/>
      <c r="JN27" s="16"/>
      <c r="JO27" s="16"/>
      <c r="JP27" s="16"/>
      <c r="JQ27" s="16"/>
      <c r="JR27" s="16"/>
      <c r="JS27" s="16"/>
      <c r="JT27" s="16"/>
      <c r="JU27" s="16"/>
      <c r="JV27" s="16"/>
      <c r="JW27" s="16"/>
      <c r="JX27" s="16"/>
      <c r="JY27" s="16"/>
      <c r="JZ27" s="16"/>
      <c r="KA27" s="16"/>
      <c r="KB27" s="16"/>
      <c r="KC27" s="16"/>
      <c r="KD27" s="16"/>
      <c r="KE27" s="16"/>
      <c r="KF27" s="16"/>
      <c r="KG27" s="16"/>
      <c r="KH27" s="16"/>
      <c r="KI27" s="16"/>
      <c r="KJ27" s="16"/>
      <c r="KK27" s="16"/>
      <c r="KL27" s="16"/>
      <c r="KM27" s="16"/>
      <c r="KN27" s="16"/>
      <c r="KO27" s="16"/>
      <c r="KP27" s="16"/>
      <c r="KQ27" s="16"/>
      <c r="KR27" s="16"/>
      <c r="KS27" s="16"/>
      <c r="KT27" s="16"/>
      <c r="KU27" s="16"/>
      <c r="KV27" s="16"/>
      <c r="KW27" s="12"/>
      <c r="KX27" s="12"/>
    </row>
    <row r="28" s="12" customFormat="1" customHeight="1" spans="1:310">
      <c r="A28" s="32"/>
      <c r="B28" s="32"/>
      <c r="C28" s="49" t="s">
        <v>1007</v>
      </c>
      <c r="D28" s="49" t="s">
        <v>1215</v>
      </c>
      <c r="E28" s="49" t="s">
        <v>936</v>
      </c>
      <c r="F28" s="32" t="s">
        <v>936</v>
      </c>
      <c r="G28" s="32" t="s">
        <v>1235</v>
      </c>
      <c r="H28" s="30">
        <v>11</v>
      </c>
      <c r="I28" s="30">
        <v>2022</v>
      </c>
      <c r="J28" s="36" t="s">
        <v>1236</v>
      </c>
      <c r="K28" s="36" t="s">
        <v>1237</v>
      </c>
      <c r="L28" s="30">
        <v>1</v>
      </c>
      <c r="M28" s="36" t="s">
        <v>1199</v>
      </c>
      <c r="N28" s="36" t="s">
        <v>1012</v>
      </c>
      <c r="O28" s="30">
        <v>149</v>
      </c>
      <c r="P28" s="32" t="s">
        <v>1018</v>
      </c>
      <c r="Q28" s="32"/>
      <c r="R28" s="32" t="s">
        <v>1017</v>
      </c>
      <c r="S28" s="29">
        <v>4229.4</v>
      </c>
      <c r="T28" s="51">
        <v>80</v>
      </c>
      <c r="U28" s="51">
        <v>2025.4</v>
      </c>
      <c r="V28" s="33">
        <f>T28/S28</f>
        <v>0.0189152125597011</v>
      </c>
      <c r="W28" s="71">
        <v>1.5245</v>
      </c>
      <c r="X28" s="71"/>
      <c r="Y28" s="32" t="s">
        <v>1018</v>
      </c>
      <c r="Z28" s="32" t="s">
        <v>1175</v>
      </c>
      <c r="AA28" s="32" t="s">
        <v>1238</v>
      </c>
      <c r="AB28" s="32" t="s">
        <v>1239</v>
      </c>
      <c r="AC28" s="32" t="s">
        <v>43</v>
      </c>
      <c r="AD28" s="32" t="s">
        <v>1018</v>
      </c>
      <c r="AE28" s="29" t="s">
        <v>134</v>
      </c>
      <c r="AF28" s="29" t="s">
        <v>1018</v>
      </c>
      <c r="AG28" s="66"/>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c r="HC28" s="11"/>
      <c r="HD28" s="11"/>
      <c r="HE28" s="11"/>
      <c r="HF28" s="11"/>
      <c r="HG28" s="11"/>
      <c r="HH28" s="11"/>
      <c r="HI28" s="11"/>
      <c r="HJ28" s="11"/>
      <c r="HK28" s="11"/>
      <c r="HL28" s="11"/>
      <c r="HM28" s="11"/>
      <c r="HN28" s="11"/>
      <c r="HO28" s="11"/>
      <c r="HP28" s="11"/>
      <c r="HQ28" s="11"/>
      <c r="HR28" s="11"/>
      <c r="HS28" s="11"/>
      <c r="HT28" s="11"/>
      <c r="HU28" s="11"/>
      <c r="HV28" s="11"/>
      <c r="HW28" s="11"/>
      <c r="HX28" s="11"/>
      <c r="HY28" s="11"/>
      <c r="HZ28" s="11"/>
      <c r="IA28" s="11"/>
      <c r="IB28" s="11"/>
      <c r="IC28" s="11"/>
      <c r="ID28" s="11"/>
      <c r="IE28" s="11"/>
      <c r="IF28" s="11"/>
      <c r="IG28" s="11"/>
      <c r="IH28" s="11"/>
      <c r="IJ28" s="9"/>
      <c r="IK28" s="9"/>
      <c r="IL28" s="9"/>
      <c r="IM28" s="9"/>
      <c r="IN28" s="9"/>
      <c r="IO28" s="9"/>
      <c r="IP28" s="9"/>
      <c r="IQ28" s="9"/>
      <c r="IR28" s="9"/>
      <c r="IS28" s="9"/>
      <c r="IT28" s="9"/>
      <c r="IU28" s="9"/>
      <c r="IV28" s="9"/>
      <c r="IW28" s="9"/>
      <c r="IX28" s="9"/>
      <c r="IY28" s="9"/>
      <c r="IZ28" s="9"/>
      <c r="JA28" s="9"/>
      <c r="JB28" s="9"/>
      <c r="JC28" s="9"/>
      <c r="JD28" s="9"/>
      <c r="JE28" s="9"/>
      <c r="JF28" s="9"/>
      <c r="JG28" s="9"/>
      <c r="JH28" s="9"/>
      <c r="JI28" s="9"/>
      <c r="JJ28" s="9"/>
      <c r="JK28" s="9"/>
      <c r="JL28" s="9"/>
      <c r="JM28" s="9"/>
      <c r="JN28" s="9"/>
      <c r="JO28" s="9"/>
      <c r="JP28" s="9"/>
      <c r="JQ28" s="9"/>
      <c r="JR28" s="9"/>
      <c r="JS28" s="9"/>
      <c r="JT28" s="9"/>
      <c r="JU28" s="9"/>
      <c r="JV28" s="9"/>
      <c r="JW28" s="9"/>
      <c r="JX28" s="9"/>
      <c r="JY28" s="9"/>
      <c r="JZ28" s="9"/>
      <c r="KA28" s="9"/>
      <c r="KB28" s="9"/>
      <c r="KC28" s="9"/>
      <c r="KD28" s="9"/>
      <c r="KE28" s="9"/>
      <c r="KF28" s="9"/>
      <c r="KG28" s="9"/>
      <c r="KH28" s="9"/>
      <c r="KI28" s="9"/>
      <c r="KJ28" s="9"/>
      <c r="KK28" s="9"/>
      <c r="KL28" s="9"/>
      <c r="KM28" s="9"/>
      <c r="KN28" s="9"/>
      <c r="KO28" s="9"/>
      <c r="KP28" s="9"/>
      <c r="KQ28" s="9"/>
      <c r="KR28" s="9"/>
      <c r="KS28" s="9"/>
      <c r="KT28" s="9"/>
      <c r="KU28" s="9"/>
      <c r="KV28" s="9"/>
    </row>
    <row r="29" s="11" customFormat="1" customHeight="1" spans="1:310">
      <c r="A29" s="32"/>
      <c r="B29" s="32"/>
      <c r="C29" s="32" t="s">
        <v>1023</v>
      </c>
      <c r="D29" s="32" t="s">
        <v>1047</v>
      </c>
      <c r="E29" s="32" t="s">
        <v>736</v>
      </c>
      <c r="F29" s="32" t="s">
        <v>736</v>
      </c>
      <c r="G29" s="32" t="s">
        <v>1240</v>
      </c>
      <c r="H29" s="32">
        <v>11</v>
      </c>
      <c r="I29" s="32">
        <v>2021</v>
      </c>
      <c r="J29" s="36" t="s">
        <v>1206</v>
      </c>
      <c r="K29" s="32" t="s">
        <v>1241</v>
      </c>
      <c r="L29" s="32">
        <v>12</v>
      </c>
      <c r="M29" s="32" t="s">
        <v>1242</v>
      </c>
      <c r="N29" s="32" t="s">
        <v>1243</v>
      </c>
      <c r="O29" s="72" t="s">
        <v>1244</v>
      </c>
      <c r="P29" s="32" t="s">
        <v>1016</v>
      </c>
      <c r="Q29" s="32" t="s">
        <v>1018</v>
      </c>
      <c r="R29" s="32" t="s">
        <v>1017</v>
      </c>
      <c r="S29" s="32">
        <v>720.27</v>
      </c>
      <c r="T29" s="32">
        <v>22.29</v>
      </c>
      <c r="U29" s="32">
        <v>2024</v>
      </c>
      <c r="V29" s="33">
        <f>T29/S29</f>
        <v>0.030946728310217</v>
      </c>
      <c r="W29" s="39"/>
      <c r="X29" s="39"/>
      <c r="Y29" s="32" t="s">
        <v>1018</v>
      </c>
      <c r="Z29" s="32" t="s">
        <v>1245</v>
      </c>
      <c r="AA29" s="72" t="s">
        <v>1246</v>
      </c>
      <c r="AB29" s="72" t="s">
        <v>1247</v>
      </c>
      <c r="AC29" s="72" t="s">
        <v>1248</v>
      </c>
      <c r="AD29" s="72" t="s">
        <v>1249</v>
      </c>
      <c r="AE29" s="72"/>
      <c r="AF29" s="72"/>
      <c r="AG29" s="3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c r="GS29" s="12"/>
      <c r="GT29" s="12"/>
      <c r="GU29" s="12"/>
      <c r="GV29" s="12"/>
      <c r="GW29" s="12"/>
      <c r="GX29" s="12"/>
      <c r="GY29" s="12"/>
      <c r="GZ29" s="12"/>
      <c r="HA29" s="12"/>
      <c r="HB29" s="12"/>
      <c r="HC29" s="12"/>
      <c r="HD29" s="12"/>
      <c r="HE29" s="12"/>
      <c r="HF29" s="12"/>
      <c r="HG29" s="12"/>
      <c r="HH29" s="12"/>
      <c r="HI29" s="12"/>
      <c r="HJ29" s="12"/>
      <c r="HK29" s="12"/>
      <c r="HL29" s="12"/>
      <c r="HM29" s="12"/>
      <c r="HN29" s="12"/>
      <c r="HO29" s="12"/>
      <c r="HP29" s="12"/>
      <c r="HQ29" s="12"/>
      <c r="HR29" s="12"/>
      <c r="HS29" s="12"/>
      <c r="HT29" s="12"/>
      <c r="HU29" s="12"/>
      <c r="HV29" s="12"/>
      <c r="HW29" s="12"/>
      <c r="HX29" s="12"/>
      <c r="HY29" s="12"/>
      <c r="HZ29" s="12"/>
      <c r="IA29" s="12"/>
      <c r="IB29" s="12"/>
      <c r="IC29" s="12"/>
      <c r="ID29" s="12"/>
      <c r="IE29" s="12"/>
      <c r="IF29" s="12"/>
      <c r="IG29" s="12"/>
      <c r="IH29" s="12"/>
      <c r="II29" s="9"/>
      <c r="IJ29" s="9"/>
      <c r="IK29" s="9"/>
      <c r="IL29" s="9"/>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c r="JV29" s="9"/>
      <c r="JW29" s="9"/>
      <c r="JX29" s="9"/>
      <c r="JY29" s="9"/>
      <c r="JZ29" s="9"/>
      <c r="KA29" s="9"/>
      <c r="KB29" s="9"/>
      <c r="KC29" s="9"/>
      <c r="KD29" s="9"/>
      <c r="KE29" s="9"/>
      <c r="KF29" s="9"/>
      <c r="KG29" s="9"/>
      <c r="KH29" s="9"/>
      <c r="KI29" s="9"/>
      <c r="KJ29" s="9"/>
      <c r="KK29" s="9"/>
      <c r="KL29" s="9"/>
      <c r="KM29" s="9"/>
      <c r="KN29" s="9"/>
      <c r="KO29" s="9"/>
      <c r="KP29" s="9"/>
      <c r="KQ29" s="9"/>
      <c r="KR29" s="9"/>
      <c r="KS29" s="9"/>
      <c r="KT29" s="9"/>
      <c r="KU29" s="9"/>
      <c r="KV29" s="9"/>
      <c r="KW29" s="12"/>
      <c r="KX29" s="12"/>
    </row>
    <row r="30" s="9" customFormat="1" customHeight="1" spans="1:310">
      <c r="A30" s="29"/>
      <c r="B30" s="29"/>
      <c r="C30" s="29" t="s">
        <v>1023</v>
      </c>
      <c r="D30" s="29" t="s">
        <v>134</v>
      </c>
      <c r="E30" s="30" t="s">
        <v>1048</v>
      </c>
      <c r="F30" s="29" t="s">
        <v>1250</v>
      </c>
      <c r="G30" s="29" t="s">
        <v>1251</v>
      </c>
      <c r="H30" s="29">
        <v>11</v>
      </c>
      <c r="I30" s="29">
        <v>2023</v>
      </c>
      <c r="J30" s="29" t="s">
        <v>1252</v>
      </c>
      <c r="K30" s="29" t="s">
        <v>1253</v>
      </c>
      <c r="L30" s="29">
        <v>1</v>
      </c>
      <c r="M30" s="29" t="s">
        <v>1199</v>
      </c>
      <c r="N30" s="29" t="s">
        <v>1012</v>
      </c>
      <c r="O30" s="29">
        <v>100</v>
      </c>
      <c r="P30" s="29" t="s">
        <v>1016</v>
      </c>
      <c r="Q30" s="29"/>
      <c r="R30" s="29" t="s">
        <v>1017</v>
      </c>
      <c r="S30" s="51">
        <v>272.57</v>
      </c>
      <c r="T30" s="29">
        <v>108.66</v>
      </c>
      <c r="U30" s="29">
        <v>2024.11</v>
      </c>
      <c r="V30" s="33">
        <f>T30/S30</f>
        <v>0.398649888102139</v>
      </c>
      <c r="W30" s="34"/>
      <c r="X30" s="34"/>
      <c r="Y30" s="29" t="s">
        <v>1018</v>
      </c>
      <c r="Z30" s="29" t="s">
        <v>1254</v>
      </c>
      <c r="AA30" s="29" t="s">
        <v>1164</v>
      </c>
      <c r="AB30" s="29" t="s">
        <v>1255</v>
      </c>
      <c r="AC30" s="29" t="s">
        <v>1256</v>
      </c>
      <c r="AD30" s="29" t="s">
        <v>1018</v>
      </c>
      <c r="AE30" s="29" t="s">
        <v>1257</v>
      </c>
      <c r="AF30" s="29" t="s">
        <v>1016</v>
      </c>
      <c r="AG30" s="50" t="s">
        <v>1258</v>
      </c>
      <c r="II30" s="11"/>
      <c r="IJ30" s="13"/>
      <c r="IK30" s="13"/>
      <c r="IL30" s="13"/>
      <c r="IM30" s="13"/>
      <c r="IN30" s="13"/>
      <c r="IO30" s="13"/>
      <c r="IP30" s="13"/>
      <c r="IQ30" s="13"/>
      <c r="IR30" s="13"/>
      <c r="IS30" s="13"/>
      <c r="IT30" s="13"/>
      <c r="IU30" s="13"/>
      <c r="IV30" s="13"/>
      <c r="IW30" s="13"/>
      <c r="IX30" s="13"/>
      <c r="IY30" s="13"/>
      <c r="IZ30" s="13"/>
      <c r="JA30" s="13"/>
      <c r="JB30" s="13"/>
      <c r="JC30" s="13"/>
      <c r="JD30" s="13"/>
      <c r="JE30" s="13"/>
      <c r="JF30" s="13"/>
      <c r="JG30" s="13"/>
      <c r="JH30" s="13"/>
      <c r="JI30" s="13"/>
      <c r="JJ30" s="13"/>
      <c r="JK30" s="13"/>
      <c r="JL30" s="13"/>
      <c r="JM30" s="13"/>
      <c r="JN30" s="13"/>
      <c r="JO30" s="13"/>
      <c r="JP30" s="13"/>
      <c r="JQ30" s="13"/>
      <c r="JR30" s="13"/>
      <c r="JS30" s="13"/>
      <c r="JT30" s="13"/>
      <c r="JU30" s="13"/>
      <c r="JV30" s="13"/>
      <c r="JW30" s="13"/>
      <c r="JX30" s="13"/>
      <c r="JY30" s="13"/>
      <c r="JZ30" s="13"/>
      <c r="KA30" s="13"/>
      <c r="KB30" s="13"/>
      <c r="KC30" s="13"/>
      <c r="KD30" s="13"/>
      <c r="KE30" s="13"/>
      <c r="KF30" s="13"/>
      <c r="KG30" s="13"/>
      <c r="KH30" s="13"/>
      <c r="KI30" s="13"/>
      <c r="KJ30" s="13"/>
      <c r="KK30" s="13"/>
      <c r="KL30" s="13"/>
      <c r="KM30" s="13"/>
      <c r="KN30" s="13"/>
      <c r="KO30" s="13"/>
      <c r="KP30" s="13"/>
      <c r="KQ30" s="13"/>
      <c r="KR30" s="13"/>
      <c r="KS30" s="13"/>
      <c r="KT30" s="13"/>
      <c r="KU30" s="13"/>
      <c r="KV30" s="13"/>
      <c r="KW30" s="11"/>
      <c r="KX30" s="11"/>
    </row>
    <row r="31" s="10" customFormat="1" customHeight="1" spans="1:310">
      <c r="A31" s="73">
        <v>45627</v>
      </c>
      <c r="B31" s="29" t="s">
        <v>1006</v>
      </c>
      <c r="C31" s="29" t="s">
        <v>1023</v>
      </c>
      <c r="D31" s="29" t="s">
        <v>134</v>
      </c>
      <c r="E31" s="30" t="s">
        <v>1008</v>
      </c>
      <c r="F31" s="29" t="s">
        <v>1259</v>
      </c>
      <c r="G31" s="29" t="s">
        <v>1260</v>
      </c>
      <c r="H31" s="29">
        <v>12</v>
      </c>
      <c r="I31" s="29">
        <v>2024</v>
      </c>
      <c r="J31" s="29" t="s">
        <v>1261</v>
      </c>
      <c r="K31" s="29" t="s">
        <v>1207</v>
      </c>
      <c r="L31" s="29">
        <v>3</v>
      </c>
      <c r="M31" s="29" t="s">
        <v>1262</v>
      </c>
      <c r="N31" s="29" t="s">
        <v>1091</v>
      </c>
      <c r="O31" s="29" t="s">
        <v>1263</v>
      </c>
      <c r="P31" s="29" t="s">
        <v>1016</v>
      </c>
      <c r="Q31" s="29" t="s">
        <v>1018</v>
      </c>
      <c r="R31" s="29" t="s">
        <v>1017</v>
      </c>
      <c r="S31" s="30">
        <v>145.89</v>
      </c>
      <c r="T31" s="29"/>
      <c r="U31" s="29"/>
      <c r="V31" s="64"/>
      <c r="W31" s="34"/>
      <c r="X31" s="34"/>
      <c r="Y31" s="29" t="s">
        <v>1018</v>
      </c>
      <c r="Z31" s="29" t="s">
        <v>1264</v>
      </c>
      <c r="AA31" s="29" t="s">
        <v>1265</v>
      </c>
      <c r="AB31" s="35" t="s">
        <v>1266</v>
      </c>
      <c r="AC31" s="29" t="s">
        <v>1267</v>
      </c>
      <c r="AD31" s="29" t="s">
        <v>1018</v>
      </c>
      <c r="AE31" s="29"/>
      <c r="AF31" s="29"/>
      <c r="AG31" s="2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row>
    <row r="32" s="11" customFormat="1" customHeight="1" spans="1:310">
      <c r="A32" s="73">
        <v>45627</v>
      </c>
      <c r="B32" s="32" t="s">
        <v>1022</v>
      </c>
      <c r="C32" s="49" t="s">
        <v>1032</v>
      </c>
      <c r="D32" s="49" t="s">
        <v>134</v>
      </c>
      <c r="E32" s="49" t="s">
        <v>903</v>
      </c>
      <c r="F32" s="49" t="s">
        <v>1268</v>
      </c>
      <c r="G32" s="30" t="s">
        <v>1269</v>
      </c>
      <c r="H32" s="30">
        <v>12</v>
      </c>
      <c r="I32" s="30">
        <v>2022</v>
      </c>
      <c r="J32" s="36">
        <v>45651</v>
      </c>
      <c r="K32" s="36">
        <v>45716</v>
      </c>
      <c r="L32" s="30">
        <v>3</v>
      </c>
      <c r="M32" s="36">
        <v>45717</v>
      </c>
      <c r="N32" s="36">
        <v>46081</v>
      </c>
      <c r="O32" s="30" t="s">
        <v>1270</v>
      </c>
      <c r="P32" s="66"/>
      <c r="Q32" s="32" t="s">
        <v>1271</v>
      </c>
      <c r="R32" s="32" t="s">
        <v>1017</v>
      </c>
      <c r="S32" s="30">
        <v>187.24</v>
      </c>
      <c r="T32" s="32">
        <v>14</v>
      </c>
      <c r="U32" s="32">
        <v>2024.03</v>
      </c>
      <c r="V32" s="33">
        <f>T32/S32</f>
        <v>0.0747703482161931</v>
      </c>
      <c r="W32" s="39">
        <v>0.3905</v>
      </c>
      <c r="X32" s="39"/>
      <c r="Y32" s="32" t="s">
        <v>1174</v>
      </c>
      <c r="Z32" s="32" t="s">
        <v>1175</v>
      </c>
      <c r="AA32" s="32" t="s">
        <v>1272</v>
      </c>
      <c r="AB32" s="32" t="s">
        <v>1273</v>
      </c>
      <c r="AC32" s="32" t="s">
        <v>37</v>
      </c>
      <c r="AD32" s="32" t="s">
        <v>1018</v>
      </c>
      <c r="AE32" s="32"/>
      <c r="AF32" s="32"/>
      <c r="AG32" s="66"/>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10"/>
      <c r="KW32" s="12"/>
      <c r="KX32" s="12"/>
    </row>
    <row r="33" s="13" customFormat="1" customHeight="1" spans="1:310">
      <c r="A33" s="73">
        <v>45627</v>
      </c>
      <c r="B33" s="29" t="s">
        <v>1022</v>
      </c>
      <c r="C33" s="30" t="s">
        <v>1150</v>
      </c>
      <c r="D33" s="30" t="s">
        <v>134</v>
      </c>
      <c r="E33" s="30" t="s">
        <v>833</v>
      </c>
      <c r="F33" s="30" t="s">
        <v>1274</v>
      </c>
      <c r="G33" s="30" t="s">
        <v>1275</v>
      </c>
      <c r="H33" s="30">
        <v>12</v>
      </c>
      <c r="I33" s="30">
        <v>2021</v>
      </c>
      <c r="J33" s="30" t="s">
        <v>1276</v>
      </c>
      <c r="K33" s="30" t="s">
        <v>1277</v>
      </c>
      <c r="L33" s="30">
        <v>1</v>
      </c>
      <c r="M33" s="30" t="s">
        <v>1199</v>
      </c>
      <c r="N33" s="30" t="s">
        <v>1012</v>
      </c>
      <c r="O33" s="30" t="s">
        <v>1066</v>
      </c>
      <c r="P33" s="30" t="s">
        <v>1018</v>
      </c>
      <c r="Q33" s="30" t="s">
        <v>1016</v>
      </c>
      <c r="R33" s="30" t="s">
        <v>1039</v>
      </c>
      <c r="S33" s="60">
        <v>547.76</v>
      </c>
      <c r="T33" s="30">
        <v>104.45</v>
      </c>
      <c r="U33" s="30" t="s">
        <v>1278</v>
      </c>
      <c r="V33" s="33">
        <f>T33/S33</f>
        <v>0.190685701767197</v>
      </c>
      <c r="W33" s="74">
        <v>0.8394</v>
      </c>
      <c r="X33" s="74" t="s">
        <v>1279</v>
      </c>
      <c r="Y33" s="29" t="s">
        <v>1018</v>
      </c>
      <c r="Z33" s="30" t="s">
        <v>1280</v>
      </c>
      <c r="AA33" s="30" t="s">
        <v>1281</v>
      </c>
      <c r="AB33" s="30" t="s">
        <v>1282</v>
      </c>
      <c r="AC33" s="30" t="s">
        <v>1283</v>
      </c>
      <c r="AD33" s="30" t="s">
        <v>1016</v>
      </c>
      <c r="AE33" s="30" t="s">
        <v>1284</v>
      </c>
      <c r="AF33" s="30"/>
      <c r="AG33" s="37"/>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10"/>
      <c r="IK33" s="10"/>
      <c r="IL33" s="10"/>
      <c r="IM33" s="10"/>
      <c r="IN33" s="10"/>
      <c r="IO33" s="10"/>
      <c r="IP33" s="10"/>
      <c r="IQ33" s="10"/>
      <c r="IR33" s="10"/>
      <c r="IS33" s="10"/>
      <c r="IT33" s="10"/>
      <c r="IU33" s="10"/>
      <c r="IV33" s="10"/>
      <c r="IW33" s="10"/>
      <c r="IX33" s="10"/>
      <c r="IY33" s="10"/>
      <c r="IZ33" s="10"/>
      <c r="JA33" s="10"/>
      <c r="JB33" s="10"/>
      <c r="JC33" s="10"/>
      <c r="JD33" s="10"/>
      <c r="JE33" s="10"/>
      <c r="JF33" s="10"/>
      <c r="JG33" s="10"/>
      <c r="JH33" s="10"/>
      <c r="JI33" s="10"/>
      <c r="JJ33" s="10"/>
      <c r="JK33" s="10"/>
      <c r="JL33" s="10"/>
      <c r="JM33" s="10"/>
      <c r="JN33" s="10"/>
      <c r="JO33" s="10"/>
      <c r="JP33" s="10"/>
      <c r="JQ33" s="10"/>
      <c r="JR33" s="10"/>
      <c r="JS33" s="10"/>
      <c r="JT33" s="10"/>
      <c r="JU33" s="10"/>
      <c r="JV33" s="10"/>
      <c r="JW33" s="10"/>
      <c r="JX33" s="10"/>
      <c r="JY33" s="10"/>
      <c r="JZ33" s="10"/>
      <c r="KA33" s="10"/>
      <c r="KB33" s="10"/>
      <c r="KC33" s="10"/>
      <c r="KD33" s="10"/>
      <c r="KE33" s="10"/>
      <c r="KF33" s="10"/>
      <c r="KG33" s="10"/>
      <c r="KH33" s="10"/>
      <c r="KI33" s="10"/>
      <c r="KJ33" s="10"/>
      <c r="KK33" s="10"/>
      <c r="KL33" s="10"/>
      <c r="KM33" s="10"/>
      <c r="KN33" s="10"/>
      <c r="KO33" s="10"/>
      <c r="KP33" s="10"/>
      <c r="KQ33" s="10"/>
      <c r="KR33" s="10"/>
      <c r="KS33" s="10"/>
      <c r="KT33" s="10"/>
      <c r="KU33" s="10"/>
      <c r="KV33" s="10"/>
      <c r="KW33" s="17"/>
      <c r="KX33" s="17"/>
    </row>
    <row r="34" s="11" customFormat="1" customHeight="1" spans="1:310">
      <c r="A34" s="73">
        <v>45627</v>
      </c>
      <c r="B34" s="49" t="s">
        <v>1022</v>
      </c>
      <c r="C34" s="32" t="s">
        <v>1057</v>
      </c>
      <c r="D34" s="32" t="s">
        <v>1058</v>
      </c>
      <c r="E34" s="32" t="s">
        <v>1225</v>
      </c>
      <c r="F34" s="32" t="s">
        <v>1285</v>
      </c>
      <c r="G34" s="32" t="s">
        <v>1286</v>
      </c>
      <c r="H34" s="30">
        <v>12</v>
      </c>
      <c r="I34" s="32">
        <v>2023</v>
      </c>
      <c r="J34" s="36" t="s">
        <v>1287</v>
      </c>
      <c r="K34" s="36" t="s">
        <v>1198</v>
      </c>
      <c r="L34" s="32">
        <v>1</v>
      </c>
      <c r="M34" s="36" t="s">
        <v>1199</v>
      </c>
      <c r="N34" s="36" t="s">
        <v>1012</v>
      </c>
      <c r="O34" s="32">
        <v>100</v>
      </c>
      <c r="P34" s="32" t="s">
        <v>1018</v>
      </c>
      <c r="Q34" s="32" t="s">
        <v>1018</v>
      </c>
      <c r="R34" s="32" t="s">
        <v>1017</v>
      </c>
      <c r="S34" s="32">
        <v>898.81</v>
      </c>
      <c r="T34" s="32">
        <v>130</v>
      </c>
      <c r="U34" s="32">
        <v>2024.04</v>
      </c>
      <c r="V34" s="33">
        <f>T34/S34</f>
        <v>0.144635684961227</v>
      </c>
      <c r="W34" s="39"/>
      <c r="X34" s="39"/>
      <c r="Y34" s="32" t="s">
        <v>1018</v>
      </c>
      <c r="Z34" s="32" t="s">
        <v>1288</v>
      </c>
      <c r="AA34" s="32" t="s">
        <v>1211</v>
      </c>
      <c r="AB34" s="32" t="s">
        <v>1289</v>
      </c>
      <c r="AC34" s="32" t="s">
        <v>1290</v>
      </c>
      <c r="AD34" s="49" t="s">
        <v>1018</v>
      </c>
      <c r="AE34" s="49"/>
      <c r="AF34" s="49"/>
      <c r="AG34" s="32"/>
      <c r="AH34" s="10"/>
      <c r="AN34" s="11" t="s">
        <v>1291</v>
      </c>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12"/>
      <c r="IJ34" s="10"/>
      <c r="IK34" s="10"/>
      <c r="IL34" s="10"/>
      <c r="IM34" s="10"/>
      <c r="IN34" s="10"/>
      <c r="IO34" s="10"/>
      <c r="IP34" s="10"/>
      <c r="IQ34" s="10"/>
      <c r="IR34" s="10"/>
      <c r="IS34" s="10"/>
      <c r="IT34" s="10"/>
      <c r="IU34" s="10"/>
      <c r="IV34" s="10"/>
      <c r="IW34" s="10"/>
      <c r="IX34" s="10"/>
      <c r="IY34" s="10"/>
      <c r="IZ34" s="10"/>
      <c r="JA34" s="10"/>
      <c r="JB34" s="10"/>
      <c r="JC34" s="10"/>
      <c r="JD34" s="10"/>
      <c r="JE34" s="10"/>
      <c r="JF34" s="10"/>
      <c r="JG34" s="10"/>
      <c r="JH34" s="10"/>
      <c r="JI34" s="10"/>
      <c r="JJ34" s="10"/>
      <c r="JK34" s="10"/>
      <c r="JL34" s="10"/>
      <c r="JM34" s="10"/>
      <c r="JN34" s="10"/>
      <c r="JO34" s="10"/>
      <c r="JP34" s="10"/>
      <c r="JQ34" s="10"/>
      <c r="JR34" s="10"/>
      <c r="JS34" s="10"/>
      <c r="JT34" s="10"/>
      <c r="JU34" s="10"/>
      <c r="JV34" s="10"/>
      <c r="JW34" s="10"/>
      <c r="JX34" s="10"/>
      <c r="JY34" s="10"/>
      <c r="JZ34" s="10"/>
      <c r="KA34" s="10"/>
      <c r="KB34" s="10"/>
      <c r="KC34" s="10"/>
      <c r="KD34" s="10"/>
      <c r="KE34" s="10"/>
      <c r="KF34" s="10"/>
      <c r="KG34" s="10"/>
      <c r="KH34" s="10"/>
      <c r="KI34" s="10"/>
      <c r="KJ34" s="10"/>
      <c r="KK34" s="10"/>
      <c r="KL34" s="10"/>
      <c r="KM34" s="10"/>
      <c r="KN34" s="10"/>
      <c r="KO34" s="10"/>
      <c r="KP34" s="10"/>
      <c r="KQ34" s="10"/>
      <c r="KR34" s="10"/>
      <c r="KS34" s="10"/>
      <c r="KT34" s="10"/>
      <c r="KU34" s="10"/>
      <c r="KV34" s="10"/>
      <c r="KW34" s="10"/>
      <c r="KX34" s="10"/>
    </row>
    <row r="35" s="9" customFormat="1" customHeight="1" spans="1:310">
      <c r="A35" s="73">
        <v>45627</v>
      </c>
      <c r="B35" s="32" t="s">
        <v>1022</v>
      </c>
      <c r="C35" s="49" t="s">
        <v>1023</v>
      </c>
      <c r="D35" s="49" t="s">
        <v>134</v>
      </c>
      <c r="E35" s="49" t="s">
        <v>561</v>
      </c>
      <c r="F35" s="49" t="s">
        <v>1292</v>
      </c>
      <c r="G35" s="49" t="s">
        <v>290</v>
      </c>
      <c r="H35" s="30">
        <v>12</v>
      </c>
      <c r="I35" s="37">
        <v>2023</v>
      </c>
      <c r="J35" s="36" t="s">
        <v>1218</v>
      </c>
      <c r="K35" s="36" t="s">
        <v>1207</v>
      </c>
      <c r="L35" s="30">
        <v>1</v>
      </c>
      <c r="M35" s="36" t="s">
        <v>1199</v>
      </c>
      <c r="N35" s="36" t="s">
        <v>1012</v>
      </c>
      <c r="O35" s="30">
        <v>79</v>
      </c>
      <c r="P35" s="29" t="s">
        <v>1016</v>
      </c>
      <c r="Q35" s="32" t="s">
        <v>1271</v>
      </c>
      <c r="R35" s="32" t="s">
        <v>1017</v>
      </c>
      <c r="S35" s="37">
        <v>316.02</v>
      </c>
      <c r="T35" s="37">
        <v>37</v>
      </c>
      <c r="U35" s="32">
        <v>2024.03</v>
      </c>
      <c r="V35" s="33">
        <f>T35/S35</f>
        <v>0.11708119739257</v>
      </c>
      <c r="W35" s="65"/>
      <c r="X35" s="65"/>
      <c r="Y35" s="32" t="s">
        <v>1018</v>
      </c>
      <c r="Z35" s="32" t="s">
        <v>1293</v>
      </c>
      <c r="AA35" s="32" t="s">
        <v>1294</v>
      </c>
      <c r="AB35" s="40">
        <v>0.15</v>
      </c>
      <c r="AC35" s="32" t="s">
        <v>1295</v>
      </c>
      <c r="AD35" s="32" t="s">
        <v>1213</v>
      </c>
      <c r="AE35" s="32"/>
      <c r="AF35" s="32"/>
      <c r="AG35" s="41" t="s">
        <v>1296</v>
      </c>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IJ35" s="11"/>
      <c r="IK35" s="11"/>
      <c r="IL35" s="11"/>
      <c r="IM35" s="11"/>
      <c r="IN35" s="11"/>
      <c r="IO35" s="11"/>
      <c r="IP35" s="11"/>
      <c r="IQ35" s="11"/>
      <c r="IR35" s="11"/>
      <c r="IS35" s="11"/>
      <c r="IT35" s="11"/>
      <c r="IU35" s="11"/>
      <c r="IV35" s="11"/>
      <c r="IW35" s="11"/>
      <c r="IX35" s="11"/>
      <c r="IY35" s="11"/>
      <c r="IZ35" s="11"/>
      <c r="JA35" s="11"/>
      <c r="JB35" s="11"/>
      <c r="JC35" s="11"/>
      <c r="JD35" s="11"/>
      <c r="JE35" s="11"/>
      <c r="JF35" s="11"/>
      <c r="JG35" s="11"/>
      <c r="JH35" s="11"/>
      <c r="JI35" s="11"/>
      <c r="JJ35" s="11"/>
      <c r="JK35" s="11"/>
      <c r="JL35" s="11"/>
      <c r="JM35" s="11"/>
      <c r="JN35" s="11"/>
      <c r="JO35" s="11"/>
      <c r="JP35" s="11"/>
      <c r="JQ35" s="11"/>
      <c r="JR35" s="11"/>
      <c r="JS35" s="11"/>
      <c r="JT35" s="11"/>
      <c r="JU35" s="11"/>
      <c r="JV35" s="11"/>
      <c r="JW35" s="11"/>
      <c r="JX35" s="11"/>
      <c r="JY35" s="11"/>
      <c r="JZ35" s="11"/>
      <c r="KA35" s="11"/>
      <c r="KB35" s="11"/>
      <c r="KC35" s="11"/>
      <c r="KD35" s="11"/>
      <c r="KE35" s="11"/>
      <c r="KF35" s="11"/>
      <c r="KG35" s="11"/>
      <c r="KH35" s="11"/>
      <c r="KI35" s="11"/>
      <c r="KJ35" s="11"/>
      <c r="KK35" s="11"/>
      <c r="KL35" s="11"/>
      <c r="KM35" s="11"/>
      <c r="KN35" s="11"/>
      <c r="KO35" s="11"/>
      <c r="KP35" s="11"/>
      <c r="KQ35" s="11"/>
      <c r="KR35" s="11"/>
      <c r="KS35" s="11"/>
      <c r="KT35" s="11"/>
      <c r="KU35" s="11"/>
      <c r="KV35" s="11"/>
      <c r="KW35" s="11"/>
      <c r="KX35" s="11"/>
    </row>
    <row r="36" s="11" customFormat="1" customHeight="1" spans="1:310">
      <c r="A36" s="73">
        <v>45627</v>
      </c>
      <c r="B36" s="32" t="s">
        <v>1022</v>
      </c>
      <c r="C36" s="32" t="s">
        <v>1023</v>
      </c>
      <c r="D36" s="32" t="s">
        <v>134</v>
      </c>
      <c r="E36" s="32" t="s">
        <v>561</v>
      </c>
      <c r="F36" s="32" t="s">
        <v>1297</v>
      </c>
      <c r="G36" s="32" t="s">
        <v>1298</v>
      </c>
      <c r="H36" s="32">
        <v>12</v>
      </c>
      <c r="I36" s="32">
        <v>2021</v>
      </c>
      <c r="J36" s="36" t="s">
        <v>1299</v>
      </c>
      <c r="K36" s="36" t="s">
        <v>1300</v>
      </c>
      <c r="L36" s="32">
        <v>1</v>
      </c>
      <c r="M36" s="36" t="s">
        <v>1199</v>
      </c>
      <c r="N36" s="36" t="s">
        <v>1012</v>
      </c>
      <c r="O36" s="32" t="s">
        <v>1301</v>
      </c>
      <c r="P36" s="32"/>
      <c r="Q36" s="32" t="s">
        <v>1018</v>
      </c>
      <c r="R36" s="32" t="s">
        <v>1017</v>
      </c>
      <c r="S36" s="37">
        <v>143.46</v>
      </c>
      <c r="T36" s="32">
        <v>10</v>
      </c>
      <c r="U36" s="32">
        <v>2025.4</v>
      </c>
      <c r="V36" s="33">
        <v>0.07</v>
      </c>
      <c r="W36" s="39"/>
      <c r="X36" s="39"/>
      <c r="Y36" s="32" t="s">
        <v>1018</v>
      </c>
      <c r="Z36" s="32" t="s">
        <v>1302</v>
      </c>
      <c r="AA36" s="32" t="s">
        <v>1303</v>
      </c>
      <c r="AB36" s="32" t="s">
        <v>1304</v>
      </c>
      <c r="AC36" s="32" t="s">
        <v>1305</v>
      </c>
      <c r="AD36" s="32" t="s">
        <v>1018</v>
      </c>
      <c r="AE36" s="32"/>
      <c r="AF36" s="32"/>
      <c r="AG36" s="3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12"/>
      <c r="HM36" s="12"/>
      <c r="HN36" s="12"/>
      <c r="HO36" s="12"/>
      <c r="HP36" s="12"/>
      <c r="HQ36" s="12"/>
      <c r="HR36" s="12"/>
      <c r="HS36" s="12"/>
      <c r="HT36" s="12"/>
      <c r="HU36" s="12"/>
      <c r="HV36" s="12"/>
      <c r="HW36" s="12"/>
      <c r="HX36" s="12"/>
      <c r="HY36" s="12"/>
      <c r="HZ36" s="12"/>
      <c r="IA36" s="12"/>
      <c r="IB36" s="12"/>
      <c r="IC36" s="12"/>
      <c r="ID36" s="12"/>
      <c r="IE36" s="12"/>
      <c r="IF36" s="12"/>
      <c r="IG36" s="12"/>
      <c r="IH36" s="12"/>
      <c r="II36" s="9"/>
      <c r="IJ36" s="10"/>
      <c r="IK36" s="10"/>
      <c r="IL36" s="10"/>
      <c r="IM36" s="10"/>
      <c r="IN36" s="10"/>
      <c r="IO36" s="10"/>
      <c r="IP36" s="10"/>
      <c r="IQ36" s="10"/>
      <c r="IR36" s="10"/>
      <c r="IS36" s="10"/>
      <c r="IT36" s="10"/>
      <c r="IU36" s="10"/>
      <c r="IV36" s="10"/>
      <c r="IW36" s="10"/>
      <c r="IX36" s="10"/>
      <c r="IY36" s="10"/>
      <c r="IZ36" s="10"/>
      <c r="JA36" s="10"/>
      <c r="JB36" s="10"/>
      <c r="JC36" s="10"/>
      <c r="JD36" s="10"/>
      <c r="JE36" s="10"/>
      <c r="JF36" s="10"/>
      <c r="JG36" s="10"/>
      <c r="JH36" s="10"/>
      <c r="JI36" s="10"/>
      <c r="JJ36" s="10"/>
      <c r="JK36" s="10"/>
      <c r="JL36" s="10"/>
      <c r="JM36" s="10"/>
      <c r="JN36" s="10"/>
      <c r="JO36" s="10"/>
      <c r="JP36" s="10"/>
      <c r="JQ36" s="10"/>
      <c r="JR36" s="10"/>
      <c r="JS36" s="10"/>
      <c r="JT36" s="10"/>
      <c r="JU36" s="10"/>
      <c r="JV36" s="10"/>
      <c r="JW36" s="10"/>
      <c r="JX36" s="10"/>
      <c r="JY36" s="10"/>
      <c r="JZ36" s="10"/>
      <c r="KA36" s="10"/>
      <c r="KB36" s="10"/>
      <c r="KC36" s="10"/>
      <c r="KD36" s="10"/>
      <c r="KE36" s="10"/>
      <c r="KF36" s="10"/>
      <c r="KG36" s="10"/>
      <c r="KH36" s="10"/>
      <c r="KI36" s="10"/>
      <c r="KJ36" s="10"/>
      <c r="KK36" s="10"/>
      <c r="KL36" s="10"/>
      <c r="KM36" s="10"/>
      <c r="KN36" s="10"/>
      <c r="KO36" s="10"/>
      <c r="KP36" s="10"/>
      <c r="KQ36" s="10"/>
      <c r="KR36" s="10"/>
      <c r="KS36" s="10"/>
      <c r="KT36" s="10"/>
      <c r="KU36" s="10"/>
      <c r="KV36" s="10"/>
    </row>
    <row r="37" s="11" customFormat="1" customHeight="1" spans="1:310">
      <c r="A37" s="28">
        <v>45658</v>
      </c>
      <c r="B37" s="29" t="s">
        <v>1022</v>
      </c>
      <c r="C37" s="29" t="s">
        <v>1032</v>
      </c>
      <c r="D37" s="29" t="s">
        <v>1306</v>
      </c>
      <c r="E37" s="30" t="s">
        <v>381</v>
      </c>
      <c r="F37" s="29" t="s">
        <v>454</v>
      </c>
      <c r="G37" s="29" t="s">
        <v>1307</v>
      </c>
      <c r="H37" s="32">
        <v>1</v>
      </c>
      <c r="I37" s="32">
        <v>2019</v>
      </c>
      <c r="J37" s="36">
        <v>45658</v>
      </c>
      <c r="K37" s="36">
        <v>45991</v>
      </c>
      <c r="L37" s="49">
        <v>1</v>
      </c>
      <c r="M37" s="36">
        <v>45658</v>
      </c>
      <c r="N37" s="36">
        <v>46022</v>
      </c>
      <c r="O37" s="32">
        <v>190</v>
      </c>
      <c r="P37" s="32" t="s">
        <v>1018</v>
      </c>
      <c r="Q37" s="32"/>
      <c r="R37" s="32" t="s">
        <v>1039</v>
      </c>
      <c r="S37" s="29">
        <v>243.96</v>
      </c>
      <c r="T37" s="51">
        <v>113.8</v>
      </c>
      <c r="U37" s="51">
        <v>2025.4</v>
      </c>
      <c r="V37" s="75">
        <f t="shared" ref="V37:V42" si="0">T37/S37</f>
        <v>0.466469913100508</v>
      </c>
      <c r="W37" s="75">
        <f>17600/(113.8*190)</f>
        <v>0.813985755249283</v>
      </c>
      <c r="X37" s="51" t="s">
        <v>1308</v>
      </c>
      <c r="Y37" s="32" t="s">
        <v>1016</v>
      </c>
      <c r="Z37" s="44" t="s">
        <v>1046</v>
      </c>
      <c r="AA37" s="44" t="s">
        <v>1046</v>
      </c>
      <c r="AB37" s="44" t="s">
        <v>1046</v>
      </c>
      <c r="AC37" s="44" t="s">
        <v>1046</v>
      </c>
      <c r="AD37" s="44" t="s">
        <v>1046</v>
      </c>
      <c r="AE37" s="44"/>
      <c r="AF37" s="44"/>
      <c r="AG37" s="44" t="s">
        <v>1046</v>
      </c>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10"/>
      <c r="IK37" s="10"/>
      <c r="IL37" s="10"/>
      <c r="IM37" s="10"/>
      <c r="IN37" s="10"/>
      <c r="IO37" s="10"/>
      <c r="IP37" s="10"/>
      <c r="IQ37" s="10"/>
      <c r="IR37" s="10"/>
      <c r="IS37" s="10"/>
      <c r="IT37" s="10"/>
      <c r="IU37" s="10"/>
      <c r="IV37" s="10"/>
      <c r="IW37" s="10"/>
      <c r="IX37" s="10"/>
      <c r="IY37" s="10"/>
      <c r="IZ37" s="10"/>
      <c r="JA37" s="10"/>
      <c r="JB37" s="10"/>
      <c r="JC37" s="10"/>
      <c r="JD37" s="10"/>
      <c r="JE37" s="10"/>
      <c r="JF37" s="10"/>
      <c r="JG37" s="10"/>
      <c r="JH37" s="10"/>
      <c r="JI37" s="10"/>
      <c r="JJ37" s="10"/>
      <c r="JK37" s="10"/>
      <c r="JL37" s="10"/>
      <c r="JM37" s="10"/>
      <c r="JN37" s="10"/>
      <c r="JO37" s="10"/>
      <c r="JP37" s="10"/>
      <c r="JQ37" s="10"/>
      <c r="JR37" s="10"/>
      <c r="JS37" s="10"/>
      <c r="JT37" s="10"/>
      <c r="JU37" s="10"/>
      <c r="JV37" s="10"/>
      <c r="JW37" s="10"/>
      <c r="JX37" s="10"/>
      <c r="JY37" s="10"/>
      <c r="JZ37" s="10"/>
      <c r="KA37" s="10"/>
      <c r="KB37" s="10"/>
      <c r="KC37" s="10"/>
      <c r="KD37" s="10"/>
      <c r="KE37" s="10"/>
      <c r="KF37" s="10"/>
      <c r="KG37" s="10"/>
      <c r="KH37" s="10"/>
      <c r="KI37" s="10"/>
      <c r="KJ37" s="10"/>
      <c r="KK37" s="10"/>
      <c r="KL37" s="10"/>
      <c r="KM37" s="10"/>
      <c r="KN37" s="10"/>
      <c r="KO37" s="10"/>
      <c r="KP37" s="10"/>
      <c r="KQ37" s="10"/>
      <c r="KR37" s="10"/>
      <c r="KS37" s="10"/>
      <c r="KT37" s="10"/>
      <c r="KU37" s="10"/>
      <c r="KV37" s="10"/>
      <c r="KW37" s="9"/>
      <c r="KX37" s="9"/>
    </row>
    <row r="38" s="9" customFormat="1" customHeight="1" spans="1:310">
      <c r="A38" s="28">
        <v>45658</v>
      </c>
      <c r="B38" s="49" t="s">
        <v>1022</v>
      </c>
      <c r="C38" s="49" t="s">
        <v>1057</v>
      </c>
      <c r="D38" s="49" t="s">
        <v>134</v>
      </c>
      <c r="E38" s="49" t="s">
        <v>1225</v>
      </c>
      <c r="F38" s="49" t="s">
        <v>1309</v>
      </c>
      <c r="G38" s="49" t="s">
        <v>1310</v>
      </c>
      <c r="H38" s="49">
        <v>1</v>
      </c>
      <c r="I38" s="49">
        <v>2024</v>
      </c>
      <c r="J38" s="76">
        <v>45664</v>
      </c>
      <c r="K38" s="76">
        <v>45747</v>
      </c>
      <c r="L38" s="49">
        <v>1</v>
      </c>
      <c r="M38" s="36">
        <v>45658</v>
      </c>
      <c r="N38" s="36">
        <v>46022</v>
      </c>
      <c r="O38" s="49" t="s">
        <v>1311</v>
      </c>
      <c r="P38" s="49" t="s">
        <v>1018</v>
      </c>
      <c r="Q38" s="49" t="s">
        <v>1018</v>
      </c>
      <c r="R38" s="49" t="s">
        <v>1017</v>
      </c>
      <c r="S38" s="32">
        <v>46.95</v>
      </c>
      <c r="T38" s="49">
        <v>7.06</v>
      </c>
      <c r="U38" s="49" t="s">
        <v>1312</v>
      </c>
      <c r="V38" s="77">
        <f t="shared" si="0"/>
        <v>0.150372736954207</v>
      </c>
      <c r="W38" s="49"/>
      <c r="X38" s="49" t="s">
        <v>1313</v>
      </c>
      <c r="Y38" s="49" t="s">
        <v>1018</v>
      </c>
      <c r="Z38" s="49" t="s">
        <v>1314</v>
      </c>
      <c r="AA38" s="49" t="s">
        <v>378</v>
      </c>
      <c r="AB38" s="49" t="s">
        <v>1315</v>
      </c>
      <c r="AC38" s="49" t="s">
        <v>37</v>
      </c>
      <c r="AD38" s="49" t="s">
        <v>1316</v>
      </c>
      <c r="AE38" s="49"/>
      <c r="AF38" s="49"/>
      <c r="AG38" s="41" t="s">
        <v>1081</v>
      </c>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c r="HC38" s="11"/>
      <c r="HD38" s="11"/>
      <c r="HE38" s="11"/>
      <c r="HF38" s="11"/>
      <c r="HG38" s="11"/>
      <c r="HH38" s="11"/>
      <c r="HI38" s="11"/>
      <c r="HJ38" s="11"/>
      <c r="HK38" s="11"/>
      <c r="HL38" s="11"/>
      <c r="HM38" s="11"/>
      <c r="HN38" s="11"/>
      <c r="HO38" s="11"/>
      <c r="HP38" s="11"/>
      <c r="HQ38" s="11"/>
      <c r="HR38" s="11"/>
      <c r="HS38" s="11"/>
      <c r="HT38" s="11"/>
      <c r="HU38" s="11"/>
      <c r="HV38" s="11"/>
      <c r="HW38" s="11"/>
      <c r="HX38" s="11"/>
      <c r="HY38" s="11"/>
      <c r="HZ38" s="11"/>
      <c r="IA38" s="11"/>
      <c r="IB38" s="11"/>
      <c r="IC38" s="11"/>
      <c r="ID38" s="11"/>
      <c r="IE38" s="11"/>
      <c r="IF38" s="11"/>
      <c r="IG38" s="11"/>
      <c r="IH38" s="11"/>
      <c r="II38" s="11"/>
      <c r="IJ38" s="11"/>
      <c r="IK38" s="11"/>
      <c r="IL38" s="11"/>
      <c r="IM38" s="11"/>
      <c r="IN38" s="11"/>
      <c r="IO38" s="11"/>
      <c r="IP38" s="11"/>
      <c r="IQ38" s="11"/>
      <c r="IR38" s="11"/>
      <c r="IS38" s="11"/>
      <c r="IT38" s="11"/>
      <c r="IU38" s="11"/>
      <c r="IV38" s="11"/>
      <c r="IW38" s="11"/>
      <c r="IX38" s="11"/>
      <c r="IY38" s="11"/>
      <c r="IZ38" s="11"/>
      <c r="JA38" s="11"/>
      <c r="JB38" s="11"/>
      <c r="JC38" s="11"/>
      <c r="JD38" s="11"/>
      <c r="JE38" s="11"/>
      <c r="JF38" s="11"/>
      <c r="JG38" s="11"/>
      <c r="JH38" s="11"/>
      <c r="JI38" s="11"/>
      <c r="JJ38" s="11"/>
      <c r="JK38" s="11"/>
      <c r="JL38" s="11"/>
      <c r="JM38" s="11"/>
      <c r="JN38" s="11"/>
      <c r="JO38" s="11"/>
      <c r="JP38" s="11"/>
      <c r="JQ38" s="11"/>
      <c r="JR38" s="11"/>
      <c r="JS38" s="11"/>
      <c r="JT38" s="11"/>
      <c r="JU38" s="11"/>
      <c r="JV38" s="11"/>
      <c r="JW38" s="11"/>
      <c r="JX38" s="11"/>
      <c r="JY38" s="11"/>
      <c r="JZ38" s="11"/>
      <c r="KA38" s="11"/>
      <c r="KB38" s="11"/>
      <c r="KC38" s="11"/>
      <c r="KD38" s="11"/>
      <c r="KE38" s="11"/>
      <c r="KF38" s="11"/>
      <c r="KG38" s="11"/>
      <c r="KH38" s="11"/>
      <c r="KI38" s="11"/>
      <c r="KJ38" s="11"/>
      <c r="KK38" s="11"/>
      <c r="KL38" s="11"/>
      <c r="KM38" s="11"/>
      <c r="KN38" s="11"/>
      <c r="KO38" s="11"/>
      <c r="KP38" s="11"/>
      <c r="KQ38" s="11"/>
      <c r="KR38" s="11"/>
      <c r="KS38" s="11"/>
      <c r="KT38" s="11"/>
      <c r="KU38" s="11"/>
      <c r="KV38" s="11"/>
      <c r="KW38" s="11"/>
      <c r="KX38" s="11"/>
    </row>
    <row r="39" s="12" customFormat="1" customHeight="1" spans="1:310">
      <c r="A39" s="28">
        <v>45658</v>
      </c>
      <c r="B39" s="29" t="s">
        <v>1022</v>
      </c>
      <c r="C39" s="30" t="s">
        <v>1057</v>
      </c>
      <c r="D39" s="30" t="s">
        <v>134</v>
      </c>
      <c r="E39" s="30" t="s">
        <v>1225</v>
      </c>
      <c r="F39" s="30" t="s">
        <v>1317</v>
      </c>
      <c r="G39" s="29" t="s">
        <v>1318</v>
      </c>
      <c r="H39" s="51">
        <v>1</v>
      </c>
      <c r="I39" s="51">
        <v>2023</v>
      </c>
      <c r="J39" s="45">
        <v>45681</v>
      </c>
      <c r="K39" s="45">
        <v>45747</v>
      </c>
      <c r="L39" s="30">
        <v>1</v>
      </c>
      <c r="M39" s="45">
        <v>45688</v>
      </c>
      <c r="N39" s="45">
        <v>45747</v>
      </c>
      <c r="O39" s="30">
        <v>118</v>
      </c>
      <c r="P39" s="29" t="s">
        <v>1018</v>
      </c>
      <c r="Q39" s="78"/>
      <c r="R39" s="29" t="s">
        <v>1017</v>
      </c>
      <c r="S39" s="29">
        <v>115.09</v>
      </c>
      <c r="T39" s="51">
        <v>1.28</v>
      </c>
      <c r="U39" s="51">
        <v>2024</v>
      </c>
      <c r="V39" s="75">
        <f t="shared" si="0"/>
        <v>0.0111217308193588</v>
      </c>
      <c r="W39" s="78"/>
      <c r="X39" s="78"/>
      <c r="Y39" s="29" t="s">
        <v>1018</v>
      </c>
      <c r="Z39" s="29" t="s">
        <v>1319</v>
      </c>
      <c r="AA39" s="29" t="s">
        <v>442</v>
      </c>
      <c r="AB39" s="30" t="s">
        <v>1320</v>
      </c>
      <c r="AC39" s="29" t="s">
        <v>37</v>
      </c>
      <c r="AD39" s="29" t="s">
        <v>1018</v>
      </c>
      <c r="AE39" s="29" t="s">
        <v>1321</v>
      </c>
      <c r="AF39" s="29"/>
      <c r="AG39" s="79" t="s">
        <v>1081</v>
      </c>
      <c r="KW39" s="11"/>
      <c r="KX39" s="11"/>
    </row>
    <row r="40" s="12" customFormat="1" customHeight="1" spans="1:310">
      <c r="A40" s="28">
        <v>45658</v>
      </c>
      <c r="B40" s="29" t="s">
        <v>1022</v>
      </c>
      <c r="C40" s="30" t="s">
        <v>1057</v>
      </c>
      <c r="D40" s="30" t="s">
        <v>1058</v>
      </c>
      <c r="E40" s="30" t="s">
        <v>1225</v>
      </c>
      <c r="F40" s="30" t="s">
        <v>1322</v>
      </c>
      <c r="G40" s="30" t="s">
        <v>1323</v>
      </c>
      <c r="H40" s="30">
        <v>1</v>
      </c>
      <c r="I40" s="30">
        <v>2022</v>
      </c>
      <c r="J40" s="45" t="s">
        <v>1324</v>
      </c>
      <c r="K40" s="45" t="s">
        <v>1325</v>
      </c>
      <c r="L40" s="30">
        <v>3</v>
      </c>
      <c r="M40" s="45" t="s">
        <v>1326</v>
      </c>
      <c r="N40" s="45" t="s">
        <v>1327</v>
      </c>
      <c r="O40" s="30">
        <v>100</v>
      </c>
      <c r="P40" s="29" t="s">
        <v>1018</v>
      </c>
      <c r="Q40" s="78"/>
      <c r="R40" s="29" t="s">
        <v>1017</v>
      </c>
      <c r="S40" s="29">
        <v>456.07</v>
      </c>
      <c r="T40" s="29">
        <v>30</v>
      </c>
      <c r="U40" s="29" t="s">
        <v>1328</v>
      </c>
      <c r="V40" s="46">
        <f t="shared" si="0"/>
        <v>0.0657793759729866</v>
      </c>
      <c r="W40" s="78"/>
      <c r="X40" s="30" t="s">
        <v>1329</v>
      </c>
      <c r="Y40" s="29" t="s">
        <v>1018</v>
      </c>
      <c r="Z40" s="29" t="s">
        <v>1330</v>
      </c>
      <c r="AA40" s="29" t="s">
        <v>442</v>
      </c>
      <c r="AB40" s="29" t="s">
        <v>1331</v>
      </c>
      <c r="AC40" s="29" t="s">
        <v>37</v>
      </c>
      <c r="AD40" s="30" t="s">
        <v>1018</v>
      </c>
      <c r="AE40" s="30"/>
      <c r="AF40" s="30"/>
      <c r="AG40" s="79" t="s">
        <v>1081</v>
      </c>
      <c r="KW40" s="13"/>
      <c r="KX40" s="13"/>
    </row>
    <row r="41" s="18" customFormat="1" customHeight="1" spans="1:310">
      <c r="A41" s="28">
        <v>45658</v>
      </c>
      <c r="B41" s="30" t="s">
        <v>1022</v>
      </c>
      <c r="C41" s="30" t="s">
        <v>1023</v>
      </c>
      <c r="D41" s="30" t="s">
        <v>134</v>
      </c>
      <c r="E41" s="30" t="s">
        <v>561</v>
      </c>
      <c r="F41" s="30" t="s">
        <v>1332</v>
      </c>
      <c r="G41" s="30" t="s">
        <v>1333</v>
      </c>
      <c r="H41" s="30">
        <v>1</v>
      </c>
      <c r="I41" s="30">
        <v>2020</v>
      </c>
      <c r="J41" s="45">
        <v>45673</v>
      </c>
      <c r="K41" s="45">
        <v>45747</v>
      </c>
      <c r="L41" s="30">
        <v>3</v>
      </c>
      <c r="M41" s="45">
        <v>45717</v>
      </c>
      <c r="N41" s="45">
        <v>46081</v>
      </c>
      <c r="O41" s="30" t="s">
        <v>1334</v>
      </c>
      <c r="P41" s="30" t="s">
        <v>1016</v>
      </c>
      <c r="Q41" s="30"/>
      <c r="R41" s="30" t="s">
        <v>1017</v>
      </c>
      <c r="S41" s="30">
        <v>281.42</v>
      </c>
      <c r="T41" s="30">
        <v>106.68</v>
      </c>
      <c r="U41" s="30" t="s">
        <v>1198</v>
      </c>
      <c r="V41" s="80">
        <f t="shared" si="0"/>
        <v>0.379077535356407</v>
      </c>
      <c r="W41" s="30">
        <v>0.908</v>
      </c>
      <c r="X41" s="30" t="s">
        <v>1335</v>
      </c>
      <c r="Y41" s="30" t="s">
        <v>1018</v>
      </c>
      <c r="Z41" s="30" t="s">
        <v>1336</v>
      </c>
      <c r="AA41" s="30" t="s">
        <v>1337</v>
      </c>
      <c r="AB41" s="30" t="s">
        <v>1338</v>
      </c>
      <c r="AC41" s="30" t="s">
        <v>215</v>
      </c>
      <c r="AD41" s="30" t="s">
        <v>1018</v>
      </c>
      <c r="AE41" s="30"/>
      <c r="AF41" s="30"/>
      <c r="AG41" s="50" t="s">
        <v>1339</v>
      </c>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c r="FY41" s="16"/>
      <c r="FZ41" s="16"/>
      <c r="GA41" s="16"/>
      <c r="GB41" s="16"/>
      <c r="GC41" s="16"/>
      <c r="GD41" s="16"/>
      <c r="GE41" s="16"/>
      <c r="GF41" s="16"/>
      <c r="GG41" s="16"/>
      <c r="GH41" s="16"/>
      <c r="GI41" s="16"/>
      <c r="GJ41" s="16"/>
      <c r="GK41" s="16"/>
      <c r="GL41" s="16"/>
      <c r="GM41" s="16"/>
      <c r="GN41" s="16"/>
      <c r="GO41" s="16"/>
      <c r="GP41" s="16"/>
      <c r="GQ41" s="16"/>
      <c r="GR41" s="16"/>
      <c r="GS41" s="16"/>
      <c r="GT41" s="16"/>
      <c r="GU41" s="16"/>
      <c r="GV41" s="16"/>
      <c r="GW41" s="16"/>
      <c r="GX41" s="16"/>
      <c r="GY41" s="16"/>
      <c r="GZ41" s="16"/>
      <c r="HA41" s="16"/>
      <c r="HB41" s="16"/>
      <c r="HC41" s="16"/>
      <c r="HD41" s="16"/>
      <c r="HE41" s="16"/>
      <c r="HF41" s="16"/>
      <c r="HG41" s="16"/>
      <c r="HH41" s="16"/>
      <c r="HI41" s="16"/>
      <c r="HJ41" s="16"/>
      <c r="HK41" s="16"/>
      <c r="HL41" s="16"/>
      <c r="HM41" s="16"/>
      <c r="HN41" s="16"/>
      <c r="HO41" s="16"/>
      <c r="HP41" s="16"/>
      <c r="HQ41" s="16"/>
      <c r="HR41" s="16"/>
      <c r="HS41" s="16"/>
      <c r="HT41" s="16"/>
      <c r="HU41" s="16"/>
      <c r="HV41" s="16"/>
      <c r="HW41" s="16"/>
      <c r="HX41" s="16"/>
      <c r="HY41" s="16"/>
      <c r="HZ41" s="16"/>
      <c r="IA41" s="16"/>
      <c r="IB41" s="16"/>
      <c r="IC41" s="16"/>
      <c r="ID41" s="16"/>
      <c r="IE41" s="16"/>
      <c r="IF41" s="16"/>
      <c r="IG41" s="16"/>
      <c r="IH41" s="16"/>
      <c r="II41" s="16"/>
      <c r="IJ41" s="16"/>
      <c r="IK41" s="16"/>
      <c r="IL41" s="16"/>
      <c r="IM41" s="16"/>
      <c r="IN41" s="16"/>
      <c r="IO41" s="16"/>
      <c r="IP41" s="16"/>
      <c r="IQ41" s="16"/>
      <c r="IR41" s="16"/>
      <c r="IS41" s="16"/>
      <c r="IT41" s="16"/>
      <c r="IU41" s="16"/>
      <c r="IV41" s="16"/>
      <c r="IW41" s="16"/>
      <c r="IX41" s="16"/>
      <c r="IY41" s="16"/>
      <c r="IZ41" s="16"/>
      <c r="JA41" s="16"/>
      <c r="JB41" s="16"/>
      <c r="JC41" s="16"/>
      <c r="JD41" s="16"/>
      <c r="JE41" s="16"/>
      <c r="JF41" s="16"/>
      <c r="JG41" s="16"/>
      <c r="JH41" s="16"/>
      <c r="JI41" s="16"/>
      <c r="JJ41" s="16"/>
      <c r="JK41" s="16"/>
      <c r="JL41" s="16"/>
      <c r="JM41" s="16"/>
      <c r="JN41" s="16"/>
      <c r="JO41" s="16"/>
      <c r="JP41" s="16"/>
      <c r="JQ41" s="16"/>
      <c r="JR41" s="16"/>
      <c r="JS41" s="16"/>
      <c r="JT41" s="16"/>
      <c r="JU41" s="16"/>
      <c r="JV41" s="16"/>
      <c r="JW41" s="16"/>
      <c r="JX41" s="16"/>
      <c r="JY41" s="16"/>
      <c r="JZ41" s="16"/>
      <c r="KA41" s="16"/>
      <c r="KB41" s="16"/>
      <c r="KC41" s="16"/>
      <c r="KD41" s="16"/>
      <c r="KE41" s="16"/>
      <c r="KF41" s="16"/>
      <c r="KG41" s="16"/>
      <c r="KH41" s="16"/>
      <c r="KI41" s="16"/>
      <c r="KJ41" s="16"/>
      <c r="KK41" s="16"/>
      <c r="KL41" s="16"/>
      <c r="KM41" s="16"/>
      <c r="KN41" s="16"/>
      <c r="KO41" s="16"/>
      <c r="KP41" s="16"/>
      <c r="KQ41" s="16"/>
      <c r="KR41" s="16"/>
      <c r="KS41" s="16"/>
      <c r="KT41" s="16"/>
      <c r="KU41" s="16"/>
      <c r="KV41" s="16"/>
      <c r="KW41" s="16"/>
      <c r="KX41" s="16"/>
    </row>
    <row r="42" s="12" customFormat="1" customHeight="1" spans="1:310">
      <c r="A42" s="28">
        <v>45658</v>
      </c>
      <c r="B42" s="30" t="s">
        <v>1006</v>
      </c>
      <c r="C42" s="30" t="s">
        <v>1023</v>
      </c>
      <c r="D42" s="30" t="s">
        <v>134</v>
      </c>
      <c r="E42" s="30" t="s">
        <v>924</v>
      </c>
      <c r="F42" s="30" t="s">
        <v>1340</v>
      </c>
      <c r="G42" s="30" t="s">
        <v>1341</v>
      </c>
      <c r="H42" s="30">
        <v>1</v>
      </c>
      <c r="I42" s="30">
        <v>2025</v>
      </c>
      <c r="J42" s="30" t="s">
        <v>1342</v>
      </c>
      <c r="K42" s="30" t="s">
        <v>1253</v>
      </c>
      <c r="L42" s="30">
        <v>1</v>
      </c>
      <c r="M42" s="30" t="s">
        <v>1199</v>
      </c>
      <c r="N42" s="30" t="s">
        <v>1012</v>
      </c>
      <c r="O42" s="30" t="s">
        <v>1343</v>
      </c>
      <c r="P42" s="30" t="s">
        <v>1016</v>
      </c>
      <c r="Q42" s="30" t="s">
        <v>1018</v>
      </c>
      <c r="R42" s="30" t="s">
        <v>1017</v>
      </c>
      <c r="S42" s="30">
        <v>485.4</v>
      </c>
      <c r="T42" s="30">
        <v>33.38</v>
      </c>
      <c r="U42" s="30">
        <v>2024.11</v>
      </c>
      <c r="V42" s="80">
        <f t="shared" si="0"/>
        <v>0.0687680263700041</v>
      </c>
      <c r="W42" s="30"/>
      <c r="X42" s="30"/>
      <c r="Y42" s="30" t="s">
        <v>1018</v>
      </c>
      <c r="Z42" s="30" t="s">
        <v>1344</v>
      </c>
      <c r="AA42" s="30" t="s">
        <v>1028</v>
      </c>
      <c r="AB42" s="30" t="s">
        <v>1345</v>
      </c>
      <c r="AC42" s="30" t="s">
        <v>37</v>
      </c>
      <c r="AD42" s="30" t="s">
        <v>1018</v>
      </c>
      <c r="AE42" s="30"/>
      <c r="AF42" s="30"/>
      <c r="AG42" s="30" t="s">
        <v>1346</v>
      </c>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KW42" s="16"/>
      <c r="KX42" s="16"/>
    </row>
    <row r="43" s="9" customFormat="1" customHeight="1" spans="1:310">
      <c r="A43" s="73">
        <v>45658</v>
      </c>
      <c r="B43" s="30" t="s">
        <v>1006</v>
      </c>
      <c r="C43" s="30" t="s">
        <v>1023</v>
      </c>
      <c r="D43" s="30" t="s">
        <v>134</v>
      </c>
      <c r="E43" s="30" t="s">
        <v>1008</v>
      </c>
      <c r="F43" s="30" t="s">
        <v>1347</v>
      </c>
      <c r="G43" s="30" t="s">
        <v>1348</v>
      </c>
      <c r="H43" s="30">
        <v>12</v>
      </c>
      <c r="I43" s="30">
        <v>2024</v>
      </c>
      <c r="J43" s="30" t="s">
        <v>1349</v>
      </c>
      <c r="K43" s="30" t="s">
        <v>1207</v>
      </c>
      <c r="L43" s="30">
        <v>3</v>
      </c>
      <c r="M43" s="30" t="s">
        <v>1262</v>
      </c>
      <c r="N43" s="30" t="s">
        <v>1091</v>
      </c>
      <c r="O43" s="30" t="s">
        <v>1350</v>
      </c>
      <c r="P43" s="30"/>
      <c r="Q43" s="30"/>
      <c r="R43" s="30" t="s">
        <v>1017</v>
      </c>
      <c r="S43" s="30">
        <v>43.2</v>
      </c>
      <c r="T43" s="30"/>
      <c r="U43" s="30"/>
      <c r="V43" s="80"/>
      <c r="W43" s="30"/>
      <c r="X43" s="30"/>
      <c r="Y43" s="30" t="s">
        <v>1018</v>
      </c>
      <c r="Z43" s="30" t="s">
        <v>1344</v>
      </c>
      <c r="AA43" s="30" t="s">
        <v>422</v>
      </c>
      <c r="AB43" s="30" t="s">
        <v>1351</v>
      </c>
      <c r="AC43" s="30" t="s">
        <v>37</v>
      </c>
      <c r="AD43" s="30" t="s">
        <v>1018</v>
      </c>
      <c r="AE43" s="30"/>
      <c r="AF43" s="30"/>
      <c r="AG43" s="30"/>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12"/>
      <c r="HM43" s="12"/>
      <c r="HN43" s="12"/>
      <c r="HO43" s="12"/>
      <c r="HP43" s="12"/>
      <c r="HQ43" s="12"/>
      <c r="HR43" s="12"/>
      <c r="HS43" s="12"/>
      <c r="HT43" s="12"/>
      <c r="HU43" s="12"/>
      <c r="HV43" s="12"/>
      <c r="HW43" s="12"/>
      <c r="HX43" s="12"/>
      <c r="HY43" s="12"/>
      <c r="HZ43" s="12"/>
      <c r="IA43" s="12"/>
      <c r="IB43" s="12"/>
      <c r="IC43" s="12"/>
      <c r="ID43" s="12"/>
      <c r="IE43" s="12"/>
      <c r="IF43" s="12"/>
      <c r="IG43" s="12"/>
      <c r="IH43" s="12"/>
      <c r="II43" s="12"/>
      <c r="IJ43" s="12"/>
      <c r="IK43" s="12"/>
      <c r="IL43" s="12"/>
      <c r="IM43" s="12"/>
      <c r="IN43" s="12"/>
      <c r="IO43" s="12"/>
      <c r="IP43" s="12"/>
      <c r="IQ43" s="12"/>
      <c r="IR43" s="12"/>
      <c r="IS43" s="12"/>
      <c r="IT43" s="12"/>
      <c r="IU43" s="12"/>
      <c r="IV43" s="12"/>
      <c r="IW43" s="12"/>
      <c r="IX43" s="12"/>
      <c r="IY43" s="12"/>
      <c r="IZ43" s="12"/>
      <c r="JA43" s="12"/>
      <c r="JB43" s="12"/>
      <c r="JC43" s="12"/>
      <c r="JD43" s="12"/>
      <c r="JE43" s="12"/>
      <c r="JF43" s="12"/>
      <c r="JG43" s="12"/>
      <c r="JH43" s="12"/>
      <c r="JI43" s="12"/>
      <c r="JJ43" s="12"/>
      <c r="JK43" s="12"/>
      <c r="JL43" s="12"/>
      <c r="JM43" s="12"/>
      <c r="JN43" s="12"/>
      <c r="JO43" s="12"/>
      <c r="JP43" s="12"/>
      <c r="JQ43" s="12"/>
      <c r="JR43" s="12"/>
      <c r="JS43" s="12"/>
      <c r="JT43" s="12"/>
      <c r="JU43" s="12"/>
      <c r="JV43" s="12"/>
      <c r="JW43" s="12"/>
      <c r="JX43" s="12"/>
      <c r="JY43" s="12"/>
      <c r="JZ43" s="12"/>
      <c r="KA43" s="12"/>
      <c r="KB43" s="12"/>
      <c r="KC43" s="12"/>
      <c r="KD43" s="12"/>
      <c r="KE43" s="12"/>
      <c r="KF43" s="12"/>
      <c r="KG43" s="12"/>
      <c r="KH43" s="12"/>
      <c r="KI43" s="12"/>
      <c r="KJ43" s="12"/>
      <c r="KK43" s="12"/>
      <c r="KL43" s="12"/>
      <c r="KM43" s="12"/>
      <c r="KN43" s="12"/>
      <c r="KO43" s="12"/>
      <c r="KP43" s="12"/>
      <c r="KQ43" s="12"/>
      <c r="KR43" s="12"/>
      <c r="KS43" s="12"/>
      <c r="KT43" s="12"/>
      <c r="KU43" s="12"/>
      <c r="KV43" s="12"/>
      <c r="KW43" s="10"/>
      <c r="KX43" s="10"/>
    </row>
    <row r="44" s="10" customFormat="1" customHeight="1" spans="1:310">
      <c r="A44" s="28">
        <v>45689</v>
      </c>
      <c r="B44" s="32" t="s">
        <v>1022</v>
      </c>
      <c r="C44" s="32" t="s">
        <v>1032</v>
      </c>
      <c r="D44" s="32" t="s">
        <v>134</v>
      </c>
      <c r="E44" s="32" t="s">
        <v>381</v>
      </c>
      <c r="F44" s="32" t="s">
        <v>1352</v>
      </c>
      <c r="G44" s="32" t="s">
        <v>1353</v>
      </c>
      <c r="H44" s="32">
        <v>2</v>
      </c>
      <c r="I44" s="32">
        <v>2022</v>
      </c>
      <c r="J44" s="32" t="s">
        <v>1207</v>
      </c>
      <c r="K44" s="32" t="s">
        <v>1253</v>
      </c>
      <c r="L44" s="32">
        <v>1</v>
      </c>
      <c r="M44" s="32" t="s">
        <v>1199</v>
      </c>
      <c r="N44" s="32" t="s">
        <v>1012</v>
      </c>
      <c r="O44" s="32">
        <v>136</v>
      </c>
      <c r="P44" s="32" t="s">
        <v>1018</v>
      </c>
      <c r="Q44" s="32" t="s">
        <v>1016</v>
      </c>
      <c r="R44" s="29" t="s">
        <v>1039</v>
      </c>
      <c r="S44" s="32">
        <v>267.28</v>
      </c>
      <c r="T44" s="32">
        <v>36</v>
      </c>
      <c r="U44" s="32" t="s">
        <v>1207</v>
      </c>
      <c r="V44" s="33">
        <v>0.026</v>
      </c>
      <c r="W44" s="32">
        <v>0.8608</v>
      </c>
      <c r="X44" s="32" t="s">
        <v>1354</v>
      </c>
      <c r="Y44" s="32" t="s">
        <v>1018</v>
      </c>
      <c r="Z44" s="32" t="s">
        <v>1355</v>
      </c>
      <c r="AA44" s="32" t="s">
        <v>1356</v>
      </c>
      <c r="AB44" s="32" t="s">
        <v>1357</v>
      </c>
      <c r="AC44" s="32" t="s">
        <v>1358</v>
      </c>
      <c r="AD44" s="32" t="s">
        <v>1018</v>
      </c>
      <c r="AE44" s="32"/>
      <c r="AF44" s="32"/>
      <c r="AG44" s="50" t="s">
        <v>1081</v>
      </c>
      <c r="AH44" s="10" t="s">
        <v>1068</v>
      </c>
      <c r="AI44" s="10" t="s">
        <v>1068</v>
      </c>
      <c r="AJ44" s="10" t="s">
        <v>1068</v>
      </c>
      <c r="AK44" s="10" t="s">
        <v>1068</v>
      </c>
      <c r="AL44" s="10" t="s">
        <v>1068</v>
      </c>
      <c r="AM44" s="10" t="s">
        <v>1068</v>
      </c>
      <c r="AN44" s="10" t="s">
        <v>1068</v>
      </c>
      <c r="AO44" s="10" t="s">
        <v>1068</v>
      </c>
      <c r="AP44" s="10" t="s">
        <v>1068</v>
      </c>
      <c r="AQ44" s="10" t="s">
        <v>1068</v>
      </c>
      <c r="AR44" s="10" t="s">
        <v>1068</v>
      </c>
      <c r="AS44" s="10" t="s">
        <v>1068</v>
      </c>
      <c r="AT44" s="10" t="s">
        <v>1068</v>
      </c>
      <c r="AU44" s="10" t="s">
        <v>1068</v>
      </c>
      <c r="AV44" s="10" t="s">
        <v>1068</v>
      </c>
      <c r="AW44" s="10" t="s">
        <v>1068</v>
      </c>
      <c r="AX44" s="10" t="s">
        <v>1068</v>
      </c>
      <c r="AY44" s="10" t="s">
        <v>1068</v>
      </c>
      <c r="AZ44" s="10" t="s">
        <v>1068</v>
      </c>
      <c r="BA44" s="10" t="s">
        <v>1068</v>
      </c>
      <c r="BB44" s="10" t="s">
        <v>1068</v>
      </c>
      <c r="BC44" s="10" t="s">
        <v>1068</v>
      </c>
      <c r="BD44" s="10" t="s">
        <v>1068</v>
      </c>
      <c r="BE44" s="10" t="s">
        <v>1068</v>
      </c>
      <c r="BF44" s="10" t="s">
        <v>1068</v>
      </c>
      <c r="BG44" s="10" t="s">
        <v>1068</v>
      </c>
      <c r="BH44" s="10" t="s">
        <v>1068</v>
      </c>
      <c r="BI44" s="10" t="s">
        <v>1068</v>
      </c>
      <c r="BJ44" s="10" t="s">
        <v>1068</v>
      </c>
      <c r="BK44" s="10" t="s">
        <v>1068</v>
      </c>
      <c r="BL44" s="10" t="s">
        <v>1068</v>
      </c>
      <c r="BM44" s="10" t="s">
        <v>1068</v>
      </c>
      <c r="BN44" s="10" t="s">
        <v>1068</v>
      </c>
      <c r="BO44" s="10" t="s">
        <v>1068</v>
      </c>
      <c r="BP44" s="10" t="s">
        <v>1068</v>
      </c>
      <c r="BQ44" s="10" t="s">
        <v>1068</v>
      </c>
      <c r="BR44" s="10" t="s">
        <v>1068</v>
      </c>
      <c r="BS44" s="10" t="s">
        <v>1068</v>
      </c>
      <c r="BT44" s="10" t="s">
        <v>1068</v>
      </c>
      <c r="BU44" s="10" t="s">
        <v>1068</v>
      </c>
      <c r="BV44" s="10" t="s">
        <v>1068</v>
      </c>
      <c r="BW44" s="10" t="s">
        <v>1068</v>
      </c>
      <c r="BX44" s="10" t="s">
        <v>1068</v>
      </c>
      <c r="BY44" s="10" t="s">
        <v>1068</v>
      </c>
      <c r="BZ44" s="10" t="s">
        <v>1068</v>
      </c>
      <c r="CA44" s="10" t="s">
        <v>1068</v>
      </c>
      <c r="CB44" s="10" t="s">
        <v>1068</v>
      </c>
      <c r="CC44" s="10" t="s">
        <v>1068</v>
      </c>
      <c r="CD44" s="10" t="s">
        <v>1068</v>
      </c>
      <c r="CE44" s="10" t="s">
        <v>1068</v>
      </c>
      <c r="CF44" s="10" t="s">
        <v>1068</v>
      </c>
      <c r="CG44" s="10" t="s">
        <v>1068</v>
      </c>
      <c r="CH44" s="10" t="s">
        <v>1068</v>
      </c>
      <c r="CI44" s="10" t="s">
        <v>1068</v>
      </c>
      <c r="CJ44" s="10" t="s">
        <v>1068</v>
      </c>
      <c r="CK44" s="10" t="s">
        <v>1068</v>
      </c>
      <c r="CL44" s="10" t="s">
        <v>1068</v>
      </c>
      <c r="CM44" s="10" t="s">
        <v>1068</v>
      </c>
      <c r="CN44" s="10" t="s">
        <v>1068</v>
      </c>
      <c r="CO44" s="10" t="s">
        <v>1068</v>
      </c>
      <c r="CP44" s="10" t="s">
        <v>1068</v>
      </c>
      <c r="CQ44" s="10" t="s">
        <v>1068</v>
      </c>
      <c r="CR44" s="10" t="s">
        <v>1068</v>
      </c>
      <c r="CS44" s="10" t="s">
        <v>1068</v>
      </c>
      <c r="CT44" s="10" t="s">
        <v>1068</v>
      </c>
      <c r="CU44" s="10" t="s">
        <v>1068</v>
      </c>
      <c r="CV44" s="10" t="s">
        <v>1068</v>
      </c>
      <c r="CW44" s="10" t="s">
        <v>1068</v>
      </c>
      <c r="CX44" s="10" t="s">
        <v>1068</v>
      </c>
      <c r="CY44" s="10" t="s">
        <v>1068</v>
      </c>
      <c r="CZ44" s="10" t="s">
        <v>1068</v>
      </c>
      <c r="DA44" s="10" t="s">
        <v>1068</v>
      </c>
      <c r="DB44" s="10" t="s">
        <v>1068</v>
      </c>
      <c r="DC44" s="10" t="s">
        <v>1068</v>
      </c>
      <c r="DD44" s="10" t="s">
        <v>1068</v>
      </c>
      <c r="DE44" s="10" t="s">
        <v>1068</v>
      </c>
      <c r="DF44" s="10" t="s">
        <v>1068</v>
      </c>
      <c r="DG44" s="10" t="s">
        <v>1068</v>
      </c>
      <c r="DH44" s="10" t="s">
        <v>1068</v>
      </c>
      <c r="DI44" s="10" t="s">
        <v>1068</v>
      </c>
      <c r="DJ44" s="10" t="s">
        <v>1068</v>
      </c>
      <c r="DK44" s="10" t="s">
        <v>1068</v>
      </c>
      <c r="DL44" s="10" t="s">
        <v>1068</v>
      </c>
      <c r="DM44" s="10" t="s">
        <v>1068</v>
      </c>
      <c r="DN44" s="10" t="s">
        <v>1068</v>
      </c>
      <c r="DO44" s="10" t="s">
        <v>1068</v>
      </c>
      <c r="DP44" s="10" t="s">
        <v>1068</v>
      </c>
      <c r="DQ44" s="10" t="s">
        <v>1068</v>
      </c>
      <c r="DR44" s="10" t="s">
        <v>1068</v>
      </c>
      <c r="DS44" s="10" t="s">
        <v>1068</v>
      </c>
      <c r="DT44" s="10" t="s">
        <v>1068</v>
      </c>
      <c r="DU44" s="10" t="s">
        <v>1068</v>
      </c>
      <c r="DV44" s="10" t="s">
        <v>1068</v>
      </c>
      <c r="DW44" s="10" t="s">
        <v>1068</v>
      </c>
      <c r="DX44" s="10" t="s">
        <v>1068</v>
      </c>
      <c r="DY44" s="10" t="s">
        <v>1068</v>
      </c>
      <c r="DZ44" s="10" t="s">
        <v>1068</v>
      </c>
      <c r="EA44" s="10" t="s">
        <v>1068</v>
      </c>
      <c r="EB44" s="10" t="s">
        <v>1068</v>
      </c>
      <c r="EC44" s="10" t="s">
        <v>1068</v>
      </c>
      <c r="ED44" s="10" t="s">
        <v>1068</v>
      </c>
      <c r="EE44" s="10" t="s">
        <v>1068</v>
      </c>
      <c r="EF44" s="10" t="s">
        <v>1068</v>
      </c>
      <c r="EG44" s="10" t="s">
        <v>1068</v>
      </c>
      <c r="EH44" s="10" t="s">
        <v>1068</v>
      </c>
      <c r="EI44" s="10" t="s">
        <v>1068</v>
      </c>
      <c r="EJ44" s="10" t="s">
        <v>1068</v>
      </c>
      <c r="EK44" s="10" t="s">
        <v>1068</v>
      </c>
      <c r="EL44" s="10" t="s">
        <v>1068</v>
      </c>
      <c r="EM44" s="10" t="s">
        <v>1068</v>
      </c>
      <c r="EN44" s="10" t="s">
        <v>1068</v>
      </c>
      <c r="EO44" s="10" t="s">
        <v>1068</v>
      </c>
      <c r="EP44" s="10" t="s">
        <v>1068</v>
      </c>
      <c r="EQ44" s="10" t="s">
        <v>1068</v>
      </c>
      <c r="ER44" s="10" t="s">
        <v>1068</v>
      </c>
      <c r="ES44" s="10" t="s">
        <v>1068</v>
      </c>
      <c r="ET44" s="10" t="s">
        <v>1068</v>
      </c>
      <c r="EU44" s="10" t="s">
        <v>1068</v>
      </c>
      <c r="EV44" s="10" t="s">
        <v>1068</v>
      </c>
      <c r="EW44" s="10" t="s">
        <v>1068</v>
      </c>
      <c r="EX44" s="10" t="s">
        <v>1068</v>
      </c>
      <c r="EY44" s="10" t="s">
        <v>1068</v>
      </c>
      <c r="EZ44" s="10" t="s">
        <v>1068</v>
      </c>
      <c r="FA44" s="10" t="s">
        <v>1068</v>
      </c>
      <c r="FB44" s="10" t="s">
        <v>1068</v>
      </c>
      <c r="FC44" s="10" t="s">
        <v>1068</v>
      </c>
      <c r="FD44" s="10" t="s">
        <v>1068</v>
      </c>
      <c r="FE44" s="10" t="s">
        <v>1068</v>
      </c>
      <c r="FF44" s="10" t="s">
        <v>1068</v>
      </c>
      <c r="FG44" s="10" t="s">
        <v>1068</v>
      </c>
      <c r="FH44" s="10" t="s">
        <v>1068</v>
      </c>
      <c r="FI44" s="10" t="s">
        <v>1068</v>
      </c>
      <c r="FJ44" s="10" t="s">
        <v>1068</v>
      </c>
      <c r="FK44" s="10" t="s">
        <v>1068</v>
      </c>
      <c r="FL44" s="10" t="s">
        <v>1068</v>
      </c>
      <c r="FM44" s="10" t="s">
        <v>1068</v>
      </c>
      <c r="FN44" s="10" t="s">
        <v>1068</v>
      </c>
      <c r="FO44" s="10" t="s">
        <v>1068</v>
      </c>
      <c r="FP44" s="10" t="s">
        <v>1068</v>
      </c>
      <c r="FQ44" s="10" t="s">
        <v>1068</v>
      </c>
      <c r="FR44" s="10" t="s">
        <v>1068</v>
      </c>
      <c r="FS44" s="10" t="s">
        <v>1068</v>
      </c>
      <c r="FT44" s="10" t="s">
        <v>1068</v>
      </c>
      <c r="FU44" s="10" t="s">
        <v>1068</v>
      </c>
      <c r="FV44" s="10" t="s">
        <v>1068</v>
      </c>
      <c r="FW44" s="10" t="s">
        <v>1068</v>
      </c>
      <c r="FX44" s="10" t="s">
        <v>1068</v>
      </c>
      <c r="FY44" s="10" t="s">
        <v>1068</v>
      </c>
      <c r="FZ44" s="10" t="s">
        <v>1068</v>
      </c>
      <c r="GA44" s="10" t="s">
        <v>1068</v>
      </c>
      <c r="GB44" s="10" t="s">
        <v>1068</v>
      </c>
      <c r="GC44" s="10" t="s">
        <v>1068</v>
      </c>
      <c r="GD44" s="10" t="s">
        <v>1068</v>
      </c>
      <c r="GE44" s="10" t="s">
        <v>1068</v>
      </c>
      <c r="GF44" s="10" t="s">
        <v>1068</v>
      </c>
      <c r="GG44" s="10" t="s">
        <v>1068</v>
      </c>
      <c r="GH44" s="10" t="s">
        <v>1068</v>
      </c>
      <c r="GI44" s="10" t="s">
        <v>1068</v>
      </c>
      <c r="GJ44" s="10" t="s">
        <v>1068</v>
      </c>
      <c r="GK44" s="10" t="s">
        <v>1068</v>
      </c>
      <c r="GL44" s="10" t="s">
        <v>1068</v>
      </c>
      <c r="GM44" s="10" t="s">
        <v>1068</v>
      </c>
      <c r="GN44" s="10" t="s">
        <v>1068</v>
      </c>
      <c r="GO44" s="10" t="s">
        <v>1068</v>
      </c>
      <c r="GP44" s="10" t="s">
        <v>1068</v>
      </c>
      <c r="GQ44" s="10" t="s">
        <v>1068</v>
      </c>
      <c r="GR44" s="10" t="s">
        <v>1068</v>
      </c>
      <c r="GS44" s="10" t="s">
        <v>1068</v>
      </c>
      <c r="GT44" s="10" t="s">
        <v>1068</v>
      </c>
      <c r="GU44" s="10" t="s">
        <v>1068</v>
      </c>
      <c r="GV44" s="10" t="s">
        <v>1068</v>
      </c>
      <c r="GW44" s="10" t="s">
        <v>1068</v>
      </c>
      <c r="GX44" s="10" t="s">
        <v>1068</v>
      </c>
      <c r="GY44" s="10" t="s">
        <v>1068</v>
      </c>
      <c r="GZ44" s="10" t="s">
        <v>1068</v>
      </c>
      <c r="HA44" s="10" t="s">
        <v>1068</v>
      </c>
      <c r="HB44" s="10" t="s">
        <v>1068</v>
      </c>
      <c r="HC44" s="10" t="s">
        <v>1068</v>
      </c>
      <c r="HD44" s="10" t="s">
        <v>1068</v>
      </c>
      <c r="HE44" s="10" t="s">
        <v>1068</v>
      </c>
      <c r="HF44" s="10" t="s">
        <v>1068</v>
      </c>
      <c r="HG44" s="10" t="s">
        <v>1068</v>
      </c>
      <c r="HH44" s="10" t="s">
        <v>1068</v>
      </c>
      <c r="HI44" s="10" t="s">
        <v>1068</v>
      </c>
      <c r="HJ44" s="10" t="s">
        <v>1068</v>
      </c>
      <c r="HK44" s="10" t="s">
        <v>1068</v>
      </c>
      <c r="HL44" s="10" t="s">
        <v>1068</v>
      </c>
      <c r="HM44" s="10" t="s">
        <v>1068</v>
      </c>
      <c r="HN44" s="10" t="s">
        <v>1068</v>
      </c>
      <c r="HO44" s="10" t="s">
        <v>1068</v>
      </c>
      <c r="HP44" s="10" t="s">
        <v>1068</v>
      </c>
      <c r="HQ44" s="10" t="s">
        <v>1068</v>
      </c>
      <c r="HR44" s="10" t="s">
        <v>1068</v>
      </c>
      <c r="HS44" s="10" t="s">
        <v>1068</v>
      </c>
      <c r="HT44" s="10" t="s">
        <v>1068</v>
      </c>
      <c r="HU44" s="10" t="s">
        <v>1068</v>
      </c>
      <c r="HV44" s="10" t="s">
        <v>1068</v>
      </c>
      <c r="HW44" s="10" t="s">
        <v>1068</v>
      </c>
      <c r="HX44" s="10" t="s">
        <v>1068</v>
      </c>
      <c r="HY44" s="10" t="s">
        <v>1068</v>
      </c>
      <c r="HZ44" s="10" t="s">
        <v>1068</v>
      </c>
      <c r="IA44" s="10" t="s">
        <v>1068</v>
      </c>
      <c r="IB44" s="10" t="s">
        <v>1068</v>
      </c>
      <c r="IC44" s="10" t="s">
        <v>1068</v>
      </c>
      <c r="ID44" s="10" t="s">
        <v>1068</v>
      </c>
      <c r="IE44" s="10" t="s">
        <v>1068</v>
      </c>
      <c r="IF44" s="10" t="s">
        <v>1068</v>
      </c>
      <c r="IG44" s="10" t="s">
        <v>1068</v>
      </c>
      <c r="IH44" s="10" t="s">
        <v>1068</v>
      </c>
      <c r="II44" s="10" t="s">
        <v>1068</v>
      </c>
      <c r="IJ44" s="10" t="s">
        <v>1068</v>
      </c>
      <c r="IK44" s="10" t="s">
        <v>1068</v>
      </c>
      <c r="IL44" s="10" t="s">
        <v>1068</v>
      </c>
      <c r="IM44" s="10" t="s">
        <v>1068</v>
      </c>
      <c r="IN44" s="10" t="s">
        <v>1068</v>
      </c>
      <c r="IO44" s="10" t="s">
        <v>1068</v>
      </c>
      <c r="IP44" s="10" t="s">
        <v>1068</v>
      </c>
      <c r="IQ44" s="10" t="s">
        <v>1068</v>
      </c>
      <c r="IR44" s="10" t="s">
        <v>1068</v>
      </c>
      <c r="IS44" s="10" t="s">
        <v>1068</v>
      </c>
      <c r="IT44" s="10" t="s">
        <v>1068</v>
      </c>
      <c r="IU44" s="10" t="s">
        <v>1068</v>
      </c>
      <c r="IV44" s="10" t="s">
        <v>1068</v>
      </c>
      <c r="IW44" s="10" t="s">
        <v>1068</v>
      </c>
      <c r="IX44" s="10" t="s">
        <v>1068</v>
      </c>
      <c r="IY44" s="10" t="s">
        <v>1068</v>
      </c>
      <c r="IZ44" s="10" t="s">
        <v>1068</v>
      </c>
      <c r="JA44" s="10" t="s">
        <v>1068</v>
      </c>
      <c r="JB44" s="10" t="s">
        <v>1068</v>
      </c>
      <c r="JC44" s="10" t="s">
        <v>1068</v>
      </c>
      <c r="JD44" s="10" t="s">
        <v>1068</v>
      </c>
      <c r="JE44" s="10" t="s">
        <v>1068</v>
      </c>
      <c r="JF44" s="10" t="s">
        <v>1068</v>
      </c>
      <c r="JG44" s="10" t="s">
        <v>1068</v>
      </c>
      <c r="JH44" s="10" t="s">
        <v>1068</v>
      </c>
      <c r="JI44" s="10" t="s">
        <v>1068</v>
      </c>
      <c r="JJ44" s="10" t="s">
        <v>1068</v>
      </c>
      <c r="JK44" s="10" t="s">
        <v>1068</v>
      </c>
      <c r="JL44" s="10" t="s">
        <v>1068</v>
      </c>
      <c r="JM44" s="10" t="s">
        <v>1068</v>
      </c>
      <c r="JN44" s="10" t="s">
        <v>1068</v>
      </c>
      <c r="JO44" s="10" t="s">
        <v>1068</v>
      </c>
      <c r="JP44" s="10" t="s">
        <v>1068</v>
      </c>
      <c r="JQ44" s="10" t="s">
        <v>1068</v>
      </c>
      <c r="JR44" s="10" t="s">
        <v>1068</v>
      </c>
      <c r="JS44" s="10" t="s">
        <v>1068</v>
      </c>
      <c r="JT44" s="10" t="s">
        <v>1068</v>
      </c>
      <c r="JU44" s="10" t="s">
        <v>1068</v>
      </c>
      <c r="JV44" s="10" t="s">
        <v>1068</v>
      </c>
      <c r="JW44" s="10" t="s">
        <v>1068</v>
      </c>
      <c r="JX44" s="10" t="s">
        <v>1068</v>
      </c>
      <c r="JY44" s="10" t="s">
        <v>1068</v>
      </c>
      <c r="JZ44" s="10" t="s">
        <v>1068</v>
      </c>
      <c r="KA44" s="10" t="s">
        <v>1068</v>
      </c>
      <c r="KB44" s="10" t="s">
        <v>1068</v>
      </c>
      <c r="KC44" s="10" t="s">
        <v>1068</v>
      </c>
      <c r="KD44" s="10" t="s">
        <v>1068</v>
      </c>
      <c r="KE44" s="10" t="s">
        <v>1068</v>
      </c>
      <c r="KF44" s="10" t="s">
        <v>1068</v>
      </c>
      <c r="KG44" s="10" t="s">
        <v>1068</v>
      </c>
      <c r="KH44" s="10" t="s">
        <v>1068</v>
      </c>
      <c r="KI44" s="10" t="s">
        <v>1068</v>
      </c>
      <c r="KJ44" s="10" t="s">
        <v>1068</v>
      </c>
      <c r="KK44" s="10" t="s">
        <v>1068</v>
      </c>
      <c r="KL44" s="10" t="s">
        <v>1068</v>
      </c>
      <c r="KM44" s="10" t="s">
        <v>1068</v>
      </c>
      <c r="KN44" s="10" t="s">
        <v>1068</v>
      </c>
      <c r="KO44" s="10" t="s">
        <v>1068</v>
      </c>
      <c r="KP44" s="10" t="s">
        <v>1068</v>
      </c>
      <c r="KQ44" s="10" t="s">
        <v>1068</v>
      </c>
      <c r="KR44" s="10" t="s">
        <v>1068</v>
      </c>
      <c r="KS44" s="10" t="s">
        <v>1068</v>
      </c>
      <c r="KT44" s="10" t="s">
        <v>1068</v>
      </c>
      <c r="KU44" s="10" t="s">
        <v>1068</v>
      </c>
      <c r="KV44" s="10" t="s">
        <v>1068</v>
      </c>
      <c r="KW44" s="16"/>
      <c r="KX44" s="16"/>
    </row>
    <row r="45" s="9" customFormat="1" customHeight="1" spans="1:310">
      <c r="A45" s="28">
        <v>45689</v>
      </c>
      <c r="B45" s="29" t="s">
        <v>1022</v>
      </c>
      <c r="C45" s="29" t="s">
        <v>1150</v>
      </c>
      <c r="D45" s="29" t="s">
        <v>1151</v>
      </c>
      <c r="E45" s="29" t="s">
        <v>833</v>
      </c>
      <c r="F45" s="30" t="s">
        <v>1359</v>
      </c>
      <c r="G45" s="29" t="s">
        <v>1360</v>
      </c>
      <c r="H45" s="51">
        <v>2</v>
      </c>
      <c r="I45" s="29">
        <v>2022</v>
      </c>
      <c r="J45" s="45" t="s">
        <v>1361</v>
      </c>
      <c r="K45" s="45" t="s">
        <v>1362</v>
      </c>
      <c r="L45" s="29">
        <v>3</v>
      </c>
      <c r="M45" s="45" t="s">
        <v>1363</v>
      </c>
      <c r="N45" s="45" t="s">
        <v>1364</v>
      </c>
      <c r="O45" s="29" t="s">
        <v>1365</v>
      </c>
      <c r="P45" s="29" t="s">
        <v>1018</v>
      </c>
      <c r="Q45" s="29" t="s">
        <v>1018</v>
      </c>
      <c r="R45" s="29" t="s">
        <v>1017</v>
      </c>
      <c r="S45" s="60">
        <v>1274.2</v>
      </c>
      <c r="T45" s="29">
        <f>237/2</f>
        <v>118.5</v>
      </c>
      <c r="U45" s="29">
        <v>2025</v>
      </c>
      <c r="V45" s="64">
        <v>0.0988855752629101</v>
      </c>
      <c r="W45" s="35">
        <v>0.302657392545033</v>
      </c>
      <c r="X45" s="35"/>
      <c r="Y45" s="30" t="s">
        <v>1018</v>
      </c>
      <c r="Z45" s="29" t="s">
        <v>1366</v>
      </c>
      <c r="AA45" s="30" t="s">
        <v>1367</v>
      </c>
      <c r="AB45" s="29" t="s">
        <v>1368</v>
      </c>
      <c r="AC45" s="30" t="s">
        <v>65</v>
      </c>
      <c r="AD45" s="30" t="s">
        <v>1018</v>
      </c>
      <c r="AE45" s="29" t="s">
        <v>1369</v>
      </c>
      <c r="AF45" s="29" t="s">
        <v>1018</v>
      </c>
      <c r="AG45" s="41" t="s">
        <v>1370</v>
      </c>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12"/>
      <c r="HM45" s="12"/>
      <c r="HN45" s="12"/>
      <c r="HO45" s="12"/>
      <c r="HP45" s="12"/>
      <c r="HQ45" s="12"/>
      <c r="HR45" s="12"/>
      <c r="HS45" s="12"/>
      <c r="HT45" s="12"/>
      <c r="HU45" s="12"/>
      <c r="HV45" s="12"/>
      <c r="HW45" s="12"/>
      <c r="HX45" s="12"/>
      <c r="HY45" s="12"/>
      <c r="HZ45" s="12"/>
      <c r="IA45" s="12"/>
      <c r="IB45" s="12"/>
      <c r="IC45" s="12"/>
      <c r="ID45" s="12"/>
      <c r="IE45" s="12"/>
      <c r="IF45" s="12"/>
      <c r="IG45" s="12"/>
      <c r="IH45" s="12"/>
      <c r="II45" s="11"/>
      <c r="IJ45" s="12"/>
      <c r="IK45" s="12"/>
      <c r="IL45" s="12"/>
      <c r="IM45" s="12"/>
      <c r="IN45" s="12"/>
      <c r="IO45" s="12"/>
      <c r="IP45" s="12"/>
      <c r="IQ45" s="12"/>
      <c r="IR45" s="12"/>
      <c r="IS45" s="12"/>
      <c r="IT45" s="12"/>
      <c r="IU45" s="12"/>
      <c r="IV45" s="12"/>
      <c r="IW45" s="12"/>
      <c r="IX45" s="12"/>
      <c r="IY45" s="12"/>
      <c r="IZ45" s="12"/>
      <c r="JA45" s="12"/>
      <c r="JB45" s="12"/>
      <c r="JC45" s="12"/>
      <c r="JD45" s="12"/>
      <c r="JE45" s="12"/>
      <c r="JF45" s="12"/>
      <c r="JG45" s="12"/>
      <c r="JH45" s="12"/>
      <c r="JI45" s="12"/>
      <c r="JJ45" s="12"/>
      <c r="JK45" s="12"/>
      <c r="JL45" s="12"/>
      <c r="JM45" s="12"/>
      <c r="JN45" s="12"/>
      <c r="JO45" s="12"/>
      <c r="JP45" s="12"/>
      <c r="JQ45" s="12"/>
      <c r="JR45" s="12"/>
      <c r="JS45" s="12"/>
      <c r="JT45" s="12"/>
      <c r="JU45" s="12"/>
      <c r="JV45" s="12"/>
      <c r="JW45" s="12"/>
      <c r="JX45" s="12"/>
      <c r="JY45" s="12"/>
      <c r="JZ45" s="12"/>
      <c r="KA45" s="12"/>
      <c r="KB45" s="12"/>
      <c r="KC45" s="12"/>
      <c r="KD45" s="12"/>
      <c r="KE45" s="12"/>
      <c r="KF45" s="12"/>
      <c r="KG45" s="12"/>
      <c r="KH45" s="12"/>
      <c r="KI45" s="12"/>
      <c r="KJ45" s="12"/>
      <c r="KK45" s="12"/>
      <c r="KL45" s="12"/>
      <c r="KM45" s="12"/>
      <c r="KN45" s="12"/>
      <c r="KO45" s="12"/>
      <c r="KP45" s="12"/>
      <c r="KQ45" s="12"/>
      <c r="KR45" s="12"/>
      <c r="KS45" s="12"/>
      <c r="KT45" s="12"/>
      <c r="KU45" s="12"/>
      <c r="KV45" s="12"/>
      <c r="KW45" s="11"/>
      <c r="KX45" s="11"/>
    </row>
    <row r="46" s="9" customFormat="1" customHeight="1" spans="1:310">
      <c r="A46" s="28">
        <v>45689</v>
      </c>
      <c r="B46" s="32" t="s">
        <v>1022</v>
      </c>
      <c r="C46" s="32" t="s">
        <v>1057</v>
      </c>
      <c r="D46" s="32" t="s">
        <v>1058</v>
      </c>
      <c r="E46" s="32" t="s">
        <v>869</v>
      </c>
      <c r="F46" s="32" t="s">
        <v>1371</v>
      </c>
      <c r="G46" s="32" t="s">
        <v>1372</v>
      </c>
      <c r="H46" s="32">
        <v>2</v>
      </c>
      <c r="I46" s="32">
        <v>2023</v>
      </c>
      <c r="J46" s="36">
        <v>45705</v>
      </c>
      <c r="K46" s="36">
        <v>45747</v>
      </c>
      <c r="L46" s="32">
        <v>4</v>
      </c>
      <c r="M46" s="36">
        <v>45748</v>
      </c>
      <c r="N46" s="36">
        <v>46112</v>
      </c>
      <c r="O46" s="32">
        <v>99</v>
      </c>
      <c r="P46" s="32" t="s">
        <v>1018</v>
      </c>
      <c r="Q46" s="32" t="s">
        <v>1068</v>
      </c>
      <c r="R46" s="32" t="s">
        <v>1017</v>
      </c>
      <c r="S46" s="49">
        <v>526.1</v>
      </c>
      <c r="T46" s="32">
        <v>20</v>
      </c>
      <c r="U46" s="32">
        <v>2025.2</v>
      </c>
      <c r="V46" s="33">
        <v>0.017</v>
      </c>
      <c r="W46" s="32" t="s">
        <v>1068</v>
      </c>
      <c r="X46" s="32" t="s">
        <v>1068</v>
      </c>
      <c r="Y46" s="32" t="s">
        <v>1018</v>
      </c>
      <c r="Z46" s="32" t="s">
        <v>1373</v>
      </c>
      <c r="AA46" s="32" t="s">
        <v>378</v>
      </c>
      <c r="AB46" s="32" t="s">
        <v>1374</v>
      </c>
      <c r="AC46" s="32" t="s">
        <v>43</v>
      </c>
      <c r="AD46" s="32" t="s">
        <v>1018</v>
      </c>
      <c r="AE46" s="32"/>
      <c r="AF46" s="32"/>
      <c r="AG46" s="32" t="s">
        <v>1068</v>
      </c>
      <c r="AH46" s="10" t="s">
        <v>1068</v>
      </c>
      <c r="AI46" s="10" t="s">
        <v>1068</v>
      </c>
      <c r="AJ46" s="10" t="s">
        <v>1068</v>
      </c>
      <c r="AK46" s="10" t="s">
        <v>1068</v>
      </c>
      <c r="AL46" s="10" t="s">
        <v>1068</v>
      </c>
      <c r="AM46" s="10" t="s">
        <v>1068</v>
      </c>
      <c r="AN46" s="10" t="s">
        <v>1068</v>
      </c>
      <c r="AO46" s="10" t="s">
        <v>1068</v>
      </c>
      <c r="AP46" s="10" t="s">
        <v>1068</v>
      </c>
      <c r="AQ46" s="10" t="s">
        <v>1068</v>
      </c>
      <c r="AR46" s="10" t="s">
        <v>1068</v>
      </c>
      <c r="AS46" s="10" t="s">
        <v>1068</v>
      </c>
      <c r="AT46" s="10" t="s">
        <v>1068</v>
      </c>
      <c r="AU46" s="10" t="s">
        <v>1068</v>
      </c>
      <c r="AV46" s="10" t="s">
        <v>1068</v>
      </c>
      <c r="AW46" s="10" t="s">
        <v>1068</v>
      </c>
      <c r="AX46" s="10" t="s">
        <v>1068</v>
      </c>
      <c r="AY46" s="10" t="s">
        <v>1068</v>
      </c>
      <c r="AZ46" s="10" t="s">
        <v>1068</v>
      </c>
      <c r="BA46" s="10" t="s">
        <v>1068</v>
      </c>
      <c r="BB46" s="10" t="s">
        <v>1068</v>
      </c>
      <c r="BC46" s="10" t="s">
        <v>1068</v>
      </c>
      <c r="BD46" s="10" t="s">
        <v>1068</v>
      </c>
      <c r="BE46" s="10" t="s">
        <v>1068</v>
      </c>
      <c r="BF46" s="10" t="s">
        <v>1068</v>
      </c>
      <c r="BG46" s="10" t="s">
        <v>1068</v>
      </c>
      <c r="BH46" s="10" t="s">
        <v>1068</v>
      </c>
      <c r="BI46" s="10" t="s">
        <v>1068</v>
      </c>
      <c r="BJ46" s="10" t="s">
        <v>1068</v>
      </c>
      <c r="BK46" s="10" t="s">
        <v>1068</v>
      </c>
      <c r="BL46" s="10" t="s">
        <v>1068</v>
      </c>
      <c r="BM46" s="10" t="s">
        <v>1068</v>
      </c>
      <c r="BN46" s="10" t="s">
        <v>1068</v>
      </c>
      <c r="BO46" s="10" t="s">
        <v>1068</v>
      </c>
      <c r="BP46" s="10" t="s">
        <v>1068</v>
      </c>
      <c r="BQ46" s="10" t="s">
        <v>1068</v>
      </c>
      <c r="BR46" s="10" t="s">
        <v>1068</v>
      </c>
      <c r="BS46" s="10" t="s">
        <v>1068</v>
      </c>
      <c r="BT46" s="10" t="s">
        <v>1068</v>
      </c>
      <c r="BU46" s="10" t="s">
        <v>1068</v>
      </c>
      <c r="BV46" s="10" t="s">
        <v>1068</v>
      </c>
      <c r="BW46" s="10" t="s">
        <v>1068</v>
      </c>
      <c r="BX46" s="10" t="s">
        <v>1068</v>
      </c>
      <c r="BY46" s="10" t="s">
        <v>1068</v>
      </c>
      <c r="BZ46" s="10" t="s">
        <v>1068</v>
      </c>
      <c r="CA46" s="10" t="s">
        <v>1068</v>
      </c>
      <c r="CB46" s="10" t="s">
        <v>1068</v>
      </c>
      <c r="CC46" s="10" t="s">
        <v>1068</v>
      </c>
      <c r="CD46" s="10" t="s">
        <v>1068</v>
      </c>
      <c r="CE46" s="10" t="s">
        <v>1068</v>
      </c>
      <c r="CF46" s="10" t="s">
        <v>1068</v>
      </c>
      <c r="CG46" s="10" t="s">
        <v>1068</v>
      </c>
      <c r="CH46" s="10" t="s">
        <v>1068</v>
      </c>
      <c r="CI46" s="10" t="s">
        <v>1068</v>
      </c>
      <c r="CJ46" s="10" t="s">
        <v>1068</v>
      </c>
      <c r="CK46" s="10" t="s">
        <v>1068</v>
      </c>
      <c r="CL46" s="10" t="s">
        <v>1068</v>
      </c>
      <c r="CM46" s="10" t="s">
        <v>1068</v>
      </c>
      <c r="CN46" s="10" t="s">
        <v>1068</v>
      </c>
      <c r="CO46" s="10" t="s">
        <v>1068</v>
      </c>
      <c r="CP46" s="10" t="s">
        <v>1068</v>
      </c>
      <c r="CQ46" s="10" t="s">
        <v>1068</v>
      </c>
      <c r="CR46" s="10" t="s">
        <v>1068</v>
      </c>
      <c r="CS46" s="10" t="s">
        <v>1068</v>
      </c>
      <c r="CT46" s="10" t="s">
        <v>1068</v>
      </c>
      <c r="CU46" s="10" t="s">
        <v>1068</v>
      </c>
      <c r="CV46" s="10" t="s">
        <v>1068</v>
      </c>
      <c r="CW46" s="10" t="s">
        <v>1068</v>
      </c>
      <c r="CX46" s="10" t="s">
        <v>1068</v>
      </c>
      <c r="CY46" s="10" t="s">
        <v>1068</v>
      </c>
      <c r="CZ46" s="10" t="s">
        <v>1068</v>
      </c>
      <c r="DA46" s="10" t="s">
        <v>1068</v>
      </c>
      <c r="DB46" s="10" t="s">
        <v>1068</v>
      </c>
      <c r="DC46" s="10" t="s">
        <v>1068</v>
      </c>
      <c r="DD46" s="10" t="s">
        <v>1068</v>
      </c>
      <c r="DE46" s="10" t="s">
        <v>1068</v>
      </c>
      <c r="DF46" s="10" t="s">
        <v>1068</v>
      </c>
      <c r="DG46" s="10" t="s">
        <v>1068</v>
      </c>
      <c r="DH46" s="10" t="s">
        <v>1068</v>
      </c>
      <c r="DI46" s="10" t="s">
        <v>1068</v>
      </c>
      <c r="DJ46" s="10" t="s">
        <v>1068</v>
      </c>
      <c r="DK46" s="10" t="s">
        <v>1068</v>
      </c>
      <c r="DL46" s="10" t="s">
        <v>1068</v>
      </c>
      <c r="DM46" s="10" t="s">
        <v>1068</v>
      </c>
      <c r="DN46" s="10" t="s">
        <v>1068</v>
      </c>
      <c r="DO46" s="10" t="s">
        <v>1068</v>
      </c>
      <c r="DP46" s="10" t="s">
        <v>1068</v>
      </c>
      <c r="DQ46" s="10" t="s">
        <v>1068</v>
      </c>
      <c r="DR46" s="10" t="s">
        <v>1068</v>
      </c>
      <c r="DS46" s="10" t="s">
        <v>1068</v>
      </c>
      <c r="DT46" s="10" t="s">
        <v>1068</v>
      </c>
      <c r="DU46" s="10" t="s">
        <v>1068</v>
      </c>
      <c r="DV46" s="10" t="s">
        <v>1068</v>
      </c>
      <c r="DW46" s="10" t="s">
        <v>1068</v>
      </c>
      <c r="DX46" s="10" t="s">
        <v>1068</v>
      </c>
      <c r="DY46" s="10" t="s">
        <v>1068</v>
      </c>
      <c r="DZ46" s="10" t="s">
        <v>1068</v>
      </c>
      <c r="EA46" s="10" t="s">
        <v>1068</v>
      </c>
      <c r="EB46" s="10" t="s">
        <v>1068</v>
      </c>
      <c r="EC46" s="10" t="s">
        <v>1068</v>
      </c>
      <c r="ED46" s="10" t="s">
        <v>1068</v>
      </c>
      <c r="EE46" s="10" t="s">
        <v>1068</v>
      </c>
      <c r="EF46" s="10" t="s">
        <v>1068</v>
      </c>
      <c r="EG46" s="10" t="s">
        <v>1068</v>
      </c>
      <c r="EH46" s="10" t="s">
        <v>1068</v>
      </c>
      <c r="EI46" s="10" t="s">
        <v>1068</v>
      </c>
      <c r="EJ46" s="10" t="s">
        <v>1068</v>
      </c>
      <c r="EK46" s="10" t="s">
        <v>1068</v>
      </c>
      <c r="EL46" s="10" t="s">
        <v>1068</v>
      </c>
      <c r="EM46" s="10" t="s">
        <v>1068</v>
      </c>
      <c r="EN46" s="10" t="s">
        <v>1068</v>
      </c>
      <c r="EO46" s="10" t="s">
        <v>1068</v>
      </c>
      <c r="EP46" s="10" t="s">
        <v>1068</v>
      </c>
      <c r="EQ46" s="10" t="s">
        <v>1068</v>
      </c>
      <c r="ER46" s="10" t="s">
        <v>1068</v>
      </c>
      <c r="ES46" s="10" t="s">
        <v>1068</v>
      </c>
      <c r="ET46" s="10" t="s">
        <v>1068</v>
      </c>
      <c r="EU46" s="10" t="s">
        <v>1068</v>
      </c>
      <c r="EV46" s="10" t="s">
        <v>1068</v>
      </c>
      <c r="EW46" s="10" t="s">
        <v>1068</v>
      </c>
      <c r="EX46" s="10" t="s">
        <v>1068</v>
      </c>
      <c r="EY46" s="10" t="s">
        <v>1068</v>
      </c>
      <c r="EZ46" s="10" t="s">
        <v>1068</v>
      </c>
      <c r="FA46" s="10" t="s">
        <v>1068</v>
      </c>
      <c r="FB46" s="10" t="s">
        <v>1068</v>
      </c>
      <c r="FC46" s="10" t="s">
        <v>1068</v>
      </c>
      <c r="FD46" s="10" t="s">
        <v>1068</v>
      </c>
      <c r="FE46" s="10" t="s">
        <v>1068</v>
      </c>
      <c r="FF46" s="10" t="s">
        <v>1068</v>
      </c>
      <c r="FG46" s="10" t="s">
        <v>1068</v>
      </c>
      <c r="FH46" s="10" t="s">
        <v>1068</v>
      </c>
      <c r="FI46" s="10" t="s">
        <v>1068</v>
      </c>
      <c r="FJ46" s="10" t="s">
        <v>1068</v>
      </c>
      <c r="FK46" s="10" t="s">
        <v>1068</v>
      </c>
      <c r="FL46" s="10" t="s">
        <v>1068</v>
      </c>
      <c r="FM46" s="10" t="s">
        <v>1068</v>
      </c>
      <c r="FN46" s="10" t="s">
        <v>1068</v>
      </c>
      <c r="FO46" s="10" t="s">
        <v>1068</v>
      </c>
      <c r="FP46" s="10" t="s">
        <v>1068</v>
      </c>
      <c r="FQ46" s="10" t="s">
        <v>1068</v>
      </c>
      <c r="FR46" s="10" t="s">
        <v>1068</v>
      </c>
      <c r="FS46" s="10" t="s">
        <v>1068</v>
      </c>
      <c r="FT46" s="10" t="s">
        <v>1068</v>
      </c>
      <c r="FU46" s="10" t="s">
        <v>1068</v>
      </c>
      <c r="FV46" s="10" t="s">
        <v>1068</v>
      </c>
      <c r="FW46" s="10" t="s">
        <v>1068</v>
      </c>
      <c r="FX46" s="10" t="s">
        <v>1068</v>
      </c>
      <c r="FY46" s="10" t="s">
        <v>1068</v>
      </c>
      <c r="FZ46" s="10" t="s">
        <v>1068</v>
      </c>
      <c r="GA46" s="10" t="s">
        <v>1068</v>
      </c>
      <c r="GB46" s="10" t="s">
        <v>1068</v>
      </c>
      <c r="GC46" s="10" t="s">
        <v>1068</v>
      </c>
      <c r="GD46" s="10" t="s">
        <v>1068</v>
      </c>
      <c r="GE46" s="10" t="s">
        <v>1068</v>
      </c>
      <c r="GF46" s="10" t="s">
        <v>1068</v>
      </c>
      <c r="GG46" s="10" t="s">
        <v>1068</v>
      </c>
      <c r="GH46" s="10" t="s">
        <v>1068</v>
      </c>
      <c r="GI46" s="10" t="s">
        <v>1068</v>
      </c>
      <c r="GJ46" s="10" t="s">
        <v>1068</v>
      </c>
      <c r="GK46" s="10" t="s">
        <v>1068</v>
      </c>
      <c r="GL46" s="10" t="s">
        <v>1068</v>
      </c>
      <c r="GM46" s="10" t="s">
        <v>1068</v>
      </c>
      <c r="GN46" s="10" t="s">
        <v>1068</v>
      </c>
      <c r="GO46" s="10" t="s">
        <v>1068</v>
      </c>
      <c r="GP46" s="10" t="s">
        <v>1068</v>
      </c>
      <c r="GQ46" s="10" t="s">
        <v>1068</v>
      </c>
      <c r="GR46" s="10" t="s">
        <v>1068</v>
      </c>
      <c r="GS46" s="10" t="s">
        <v>1068</v>
      </c>
      <c r="GT46" s="10" t="s">
        <v>1068</v>
      </c>
      <c r="GU46" s="10" t="s">
        <v>1068</v>
      </c>
      <c r="GV46" s="10" t="s">
        <v>1068</v>
      </c>
      <c r="GW46" s="10" t="s">
        <v>1068</v>
      </c>
      <c r="GX46" s="10" t="s">
        <v>1068</v>
      </c>
      <c r="GY46" s="10" t="s">
        <v>1068</v>
      </c>
      <c r="GZ46" s="10" t="s">
        <v>1068</v>
      </c>
      <c r="HA46" s="10" t="s">
        <v>1068</v>
      </c>
      <c r="HB46" s="10" t="s">
        <v>1068</v>
      </c>
      <c r="HC46" s="10" t="s">
        <v>1068</v>
      </c>
      <c r="HD46" s="10" t="s">
        <v>1068</v>
      </c>
      <c r="HE46" s="10" t="s">
        <v>1068</v>
      </c>
      <c r="HF46" s="10" t="s">
        <v>1068</v>
      </c>
      <c r="HG46" s="10" t="s">
        <v>1068</v>
      </c>
      <c r="HH46" s="10" t="s">
        <v>1068</v>
      </c>
      <c r="HI46" s="10" t="s">
        <v>1068</v>
      </c>
      <c r="HJ46" s="10" t="s">
        <v>1068</v>
      </c>
      <c r="HK46" s="10" t="s">
        <v>1068</v>
      </c>
      <c r="HL46" s="10" t="s">
        <v>1068</v>
      </c>
      <c r="HM46" s="10" t="s">
        <v>1068</v>
      </c>
      <c r="HN46" s="10" t="s">
        <v>1068</v>
      </c>
      <c r="HO46" s="10" t="s">
        <v>1068</v>
      </c>
      <c r="HP46" s="10" t="s">
        <v>1068</v>
      </c>
      <c r="HQ46" s="10" t="s">
        <v>1068</v>
      </c>
      <c r="HR46" s="10" t="s">
        <v>1068</v>
      </c>
      <c r="HS46" s="10" t="s">
        <v>1068</v>
      </c>
      <c r="HT46" s="10" t="s">
        <v>1068</v>
      </c>
      <c r="HU46" s="10" t="s">
        <v>1068</v>
      </c>
      <c r="HV46" s="10" t="s">
        <v>1068</v>
      </c>
      <c r="HW46" s="10" t="s">
        <v>1068</v>
      </c>
      <c r="HX46" s="10" t="s">
        <v>1068</v>
      </c>
      <c r="HY46" s="10" t="s">
        <v>1068</v>
      </c>
      <c r="HZ46" s="10" t="s">
        <v>1068</v>
      </c>
      <c r="IA46" s="10" t="s">
        <v>1068</v>
      </c>
      <c r="IB46" s="10" t="s">
        <v>1068</v>
      </c>
      <c r="IC46" s="10" t="s">
        <v>1068</v>
      </c>
      <c r="ID46" s="10" t="s">
        <v>1068</v>
      </c>
      <c r="IE46" s="10" t="s">
        <v>1068</v>
      </c>
      <c r="IF46" s="10" t="s">
        <v>1068</v>
      </c>
      <c r="IG46" s="10" t="s">
        <v>1068</v>
      </c>
      <c r="IH46" s="10" t="s">
        <v>1068</v>
      </c>
      <c r="II46" s="10" t="s">
        <v>1068</v>
      </c>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row>
    <row r="47" s="12" customFormat="1" customHeight="1" spans="1:310">
      <c r="A47" s="28">
        <v>45689</v>
      </c>
      <c r="B47" s="32" t="s">
        <v>1022</v>
      </c>
      <c r="C47" s="32" t="s">
        <v>1007</v>
      </c>
      <c r="D47" s="32" t="s">
        <v>1215</v>
      </c>
      <c r="E47" s="32" t="s">
        <v>1216</v>
      </c>
      <c r="F47" s="32" t="s">
        <v>1375</v>
      </c>
      <c r="G47" s="32" t="s">
        <v>1376</v>
      </c>
      <c r="H47" s="30">
        <v>2</v>
      </c>
      <c r="I47" s="49">
        <v>2022</v>
      </c>
      <c r="J47" s="32" t="s">
        <v>1377</v>
      </c>
      <c r="K47" s="32" t="s">
        <v>1378</v>
      </c>
      <c r="L47" s="81" t="s">
        <v>1379</v>
      </c>
      <c r="M47" s="32" t="s">
        <v>1380</v>
      </c>
      <c r="N47" s="32" t="s">
        <v>1381</v>
      </c>
      <c r="O47" s="32" t="s">
        <v>1382</v>
      </c>
      <c r="P47" s="32" t="s">
        <v>1016</v>
      </c>
      <c r="Q47" s="32" t="s">
        <v>1018</v>
      </c>
      <c r="R47" s="32" t="s">
        <v>1017</v>
      </c>
      <c r="S47" s="32">
        <v>2407.35</v>
      </c>
      <c r="T47" s="32">
        <v>51.3</v>
      </c>
      <c r="U47" s="32">
        <v>2023</v>
      </c>
      <c r="V47" s="33">
        <f>T47/S47</f>
        <v>0.0213097389245436</v>
      </c>
      <c r="W47" s="82"/>
      <c r="X47" s="82"/>
      <c r="Y47" s="32" t="s">
        <v>1383</v>
      </c>
      <c r="Z47" s="49" t="s">
        <v>1201</v>
      </c>
      <c r="AA47" s="49" t="s">
        <v>36</v>
      </c>
      <c r="AB47" s="49" t="s">
        <v>1384</v>
      </c>
      <c r="AC47" s="49" t="s">
        <v>65</v>
      </c>
      <c r="AD47" s="49" t="s">
        <v>1016</v>
      </c>
      <c r="AE47" s="83" t="s">
        <v>1016</v>
      </c>
      <c r="AF47" s="84" t="s">
        <v>1018</v>
      </c>
      <c r="AG47" s="49"/>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c r="HC47" s="11"/>
      <c r="HD47" s="11"/>
      <c r="HE47" s="11"/>
      <c r="HF47" s="11"/>
      <c r="HG47" s="11"/>
      <c r="HH47" s="11"/>
      <c r="HI47" s="11"/>
      <c r="HJ47" s="11"/>
      <c r="HK47" s="11"/>
      <c r="HL47" s="11"/>
      <c r="HM47" s="11"/>
      <c r="HN47" s="11"/>
      <c r="HO47" s="11"/>
      <c r="HP47" s="11"/>
      <c r="HQ47" s="11"/>
      <c r="HR47" s="11"/>
      <c r="HS47" s="11"/>
      <c r="HT47" s="11"/>
      <c r="HU47" s="11"/>
      <c r="HV47" s="11"/>
      <c r="HW47" s="11"/>
      <c r="HX47" s="11"/>
      <c r="HY47" s="11"/>
      <c r="HZ47" s="11"/>
      <c r="IA47" s="11"/>
      <c r="IB47" s="11"/>
      <c r="IC47" s="11"/>
      <c r="ID47" s="11"/>
      <c r="IE47" s="11"/>
      <c r="IF47" s="11"/>
      <c r="IG47" s="11"/>
      <c r="IH47" s="11"/>
      <c r="KW47" s="11"/>
      <c r="KX47" s="11"/>
    </row>
    <row r="48" s="12" customFormat="1" customHeight="1" spans="1:310">
      <c r="A48" s="28">
        <v>45689</v>
      </c>
      <c r="B48" s="32" t="s">
        <v>1022</v>
      </c>
      <c r="C48" s="32" t="s">
        <v>1057</v>
      </c>
      <c r="D48" s="32" t="s">
        <v>134</v>
      </c>
      <c r="E48" s="32" t="s">
        <v>1225</v>
      </c>
      <c r="F48" s="32" t="s">
        <v>1385</v>
      </c>
      <c r="G48" s="32" t="s">
        <v>1386</v>
      </c>
      <c r="H48" s="32">
        <v>2</v>
      </c>
      <c r="I48" s="32">
        <v>2023</v>
      </c>
      <c r="J48" s="36" t="s">
        <v>1387</v>
      </c>
      <c r="K48" s="36" t="s">
        <v>1207</v>
      </c>
      <c r="L48" s="32">
        <v>3</v>
      </c>
      <c r="M48" s="36" t="s">
        <v>1262</v>
      </c>
      <c r="N48" s="36" t="s">
        <v>1091</v>
      </c>
      <c r="O48" s="32">
        <v>100</v>
      </c>
      <c r="P48" s="32" t="s">
        <v>1018</v>
      </c>
      <c r="Q48" s="32"/>
      <c r="R48" s="32" t="s">
        <v>1017</v>
      </c>
      <c r="S48" s="32">
        <v>496.97</v>
      </c>
      <c r="T48" s="37">
        <v>10</v>
      </c>
      <c r="U48" s="32" t="s">
        <v>1388</v>
      </c>
      <c r="V48" s="33">
        <f>10/S48</f>
        <v>0.0201219389500372</v>
      </c>
      <c r="W48" s="39"/>
      <c r="X48" s="39" t="s">
        <v>1389</v>
      </c>
      <c r="Y48" s="32" t="s">
        <v>1018</v>
      </c>
      <c r="Z48" s="32" t="s">
        <v>1390</v>
      </c>
      <c r="AA48" s="32" t="s">
        <v>442</v>
      </c>
      <c r="AB48" s="32" t="s">
        <v>1391</v>
      </c>
      <c r="AC48" s="32" t="s">
        <v>37</v>
      </c>
      <c r="AD48" s="32" t="s">
        <v>1018</v>
      </c>
      <c r="AE48" s="32" t="s">
        <v>1392</v>
      </c>
      <c r="AF48" s="32"/>
      <c r="AG48" s="79" t="s">
        <v>1081</v>
      </c>
      <c r="KW48" s="11"/>
      <c r="KX48" s="11"/>
    </row>
    <row r="49" s="9" customFormat="1" customHeight="1" spans="1:310">
      <c r="A49" s="28">
        <v>45689</v>
      </c>
      <c r="B49" s="32" t="s">
        <v>1022</v>
      </c>
      <c r="C49" s="32" t="s">
        <v>1007</v>
      </c>
      <c r="D49" s="32" t="s">
        <v>134</v>
      </c>
      <c r="E49" s="32" t="s">
        <v>678</v>
      </c>
      <c r="F49" s="32" t="s">
        <v>1393</v>
      </c>
      <c r="G49" s="32" t="s">
        <v>1394</v>
      </c>
      <c r="H49" s="32">
        <v>2</v>
      </c>
      <c r="I49" s="32">
        <v>2021</v>
      </c>
      <c r="J49" s="36">
        <v>45716</v>
      </c>
      <c r="K49" s="36">
        <v>45777</v>
      </c>
      <c r="L49" s="32">
        <v>4</v>
      </c>
      <c r="M49" s="36">
        <v>45748</v>
      </c>
      <c r="N49" s="36">
        <v>46112</v>
      </c>
      <c r="O49" s="32">
        <v>79</v>
      </c>
      <c r="P49" s="32" t="s">
        <v>1018</v>
      </c>
      <c r="Q49" s="32"/>
      <c r="R49" s="32" t="s">
        <v>1017</v>
      </c>
      <c r="S49" s="38">
        <v>547.22</v>
      </c>
      <c r="T49" s="32">
        <v>35</v>
      </c>
      <c r="U49" s="32">
        <v>2025</v>
      </c>
      <c r="V49" s="33">
        <f>T49/S49</f>
        <v>0.0639596505975659</v>
      </c>
      <c r="W49" s="39"/>
      <c r="X49" s="39"/>
      <c r="Y49" s="32" t="s">
        <v>1018</v>
      </c>
      <c r="Z49" s="32" t="s">
        <v>1395</v>
      </c>
      <c r="AA49" s="32" t="s">
        <v>378</v>
      </c>
      <c r="AB49" s="40" t="s">
        <v>1396</v>
      </c>
      <c r="AC49" s="32" t="s">
        <v>37</v>
      </c>
      <c r="AD49" s="32" t="s">
        <v>1018</v>
      </c>
      <c r="AE49" s="32"/>
      <c r="AF49" s="32"/>
      <c r="AG49" s="32" t="s">
        <v>1397</v>
      </c>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12"/>
      <c r="HM49" s="12"/>
      <c r="HN49" s="12"/>
      <c r="HO49" s="12"/>
      <c r="HP49" s="12"/>
      <c r="HQ49" s="12"/>
      <c r="HR49" s="12"/>
      <c r="HS49" s="12"/>
      <c r="HT49" s="12"/>
      <c r="HU49" s="12"/>
      <c r="HV49" s="12"/>
      <c r="HW49" s="12"/>
      <c r="HX49" s="12"/>
      <c r="HY49" s="12"/>
      <c r="HZ49" s="12"/>
      <c r="IA49" s="12"/>
      <c r="IB49" s="12"/>
      <c r="IC49" s="12"/>
      <c r="ID49" s="12"/>
      <c r="IE49" s="12"/>
      <c r="IF49" s="12"/>
      <c r="IG49" s="12"/>
      <c r="IH49" s="12"/>
      <c r="II49" s="12"/>
      <c r="IJ49" s="12"/>
      <c r="IK49" s="12"/>
      <c r="IL49" s="12"/>
      <c r="IM49" s="12"/>
      <c r="IN49" s="12"/>
      <c r="IO49" s="12"/>
      <c r="IP49" s="12"/>
      <c r="IQ49" s="12"/>
      <c r="IR49" s="12"/>
      <c r="IS49" s="12"/>
      <c r="IT49" s="12"/>
      <c r="IU49" s="12"/>
      <c r="IV49" s="12"/>
      <c r="IW49" s="12"/>
      <c r="IX49" s="12"/>
      <c r="IY49" s="12"/>
      <c r="IZ49" s="12"/>
      <c r="JA49" s="12"/>
      <c r="JB49" s="12"/>
      <c r="JC49" s="12"/>
      <c r="JD49" s="12"/>
      <c r="JE49" s="12"/>
      <c r="JF49" s="12"/>
      <c r="JG49" s="12"/>
      <c r="JH49" s="12"/>
      <c r="JI49" s="12"/>
      <c r="JJ49" s="12"/>
      <c r="JK49" s="12"/>
      <c r="JL49" s="12"/>
      <c r="JM49" s="12"/>
      <c r="JN49" s="12"/>
      <c r="JO49" s="12"/>
      <c r="JP49" s="12"/>
      <c r="JQ49" s="12"/>
      <c r="JR49" s="12"/>
      <c r="JS49" s="12"/>
      <c r="JT49" s="12"/>
      <c r="JU49" s="12"/>
      <c r="JV49" s="12"/>
      <c r="JW49" s="12"/>
      <c r="JX49" s="12"/>
      <c r="JY49" s="12"/>
      <c r="JZ49" s="12"/>
      <c r="KA49" s="12"/>
      <c r="KB49" s="12"/>
      <c r="KC49" s="12"/>
      <c r="KD49" s="12"/>
      <c r="KE49" s="12"/>
      <c r="KF49" s="12"/>
      <c r="KG49" s="12"/>
      <c r="KH49" s="12"/>
      <c r="KI49" s="12"/>
      <c r="KJ49" s="12"/>
      <c r="KK49" s="12"/>
      <c r="KL49" s="12"/>
      <c r="KM49" s="12"/>
      <c r="KN49" s="12"/>
      <c r="KO49" s="12"/>
      <c r="KP49" s="12"/>
      <c r="KQ49" s="12"/>
      <c r="KR49" s="12"/>
      <c r="KS49" s="12"/>
      <c r="KT49" s="12"/>
      <c r="KU49" s="12"/>
      <c r="KV49" s="12"/>
      <c r="KW49" s="11"/>
      <c r="KX49" s="11"/>
    </row>
    <row r="50" s="11" customFormat="1" customHeight="1" spans="1:310">
      <c r="A50" s="28">
        <v>45689</v>
      </c>
      <c r="B50" s="32" t="s">
        <v>1022</v>
      </c>
      <c r="C50" s="32" t="s">
        <v>1023</v>
      </c>
      <c r="D50" s="32" t="s">
        <v>134</v>
      </c>
      <c r="E50" s="49" t="s">
        <v>924</v>
      </c>
      <c r="F50" s="32" t="s">
        <v>1398</v>
      </c>
      <c r="G50" s="49" t="s">
        <v>1399</v>
      </c>
      <c r="H50" s="32">
        <v>2</v>
      </c>
      <c r="I50" s="49">
        <v>2023</v>
      </c>
      <c r="J50" s="36">
        <v>45715</v>
      </c>
      <c r="K50" s="36">
        <v>45777</v>
      </c>
      <c r="L50" s="32">
        <v>5</v>
      </c>
      <c r="M50" s="36">
        <v>45778</v>
      </c>
      <c r="N50" s="36">
        <v>46142</v>
      </c>
      <c r="O50" s="32">
        <v>95</v>
      </c>
      <c r="P50" s="32" t="s">
        <v>1018</v>
      </c>
      <c r="Q50" s="32" t="s">
        <v>1018</v>
      </c>
      <c r="R50" s="32" t="s">
        <v>1017</v>
      </c>
      <c r="S50" s="37">
        <v>132.1</v>
      </c>
      <c r="T50" s="37">
        <v>12</v>
      </c>
      <c r="U50" s="32">
        <v>2025.3</v>
      </c>
      <c r="V50" s="33"/>
      <c r="W50" s="32"/>
      <c r="X50" s="32" t="s">
        <v>1400</v>
      </c>
      <c r="Y50" s="32" t="s">
        <v>1018</v>
      </c>
      <c r="Z50" s="32" t="s">
        <v>1401</v>
      </c>
      <c r="AA50" s="32" t="s">
        <v>1402</v>
      </c>
      <c r="AB50" s="40" t="s">
        <v>1403</v>
      </c>
      <c r="AC50" s="32" t="s">
        <v>1404</v>
      </c>
      <c r="AD50" s="32" t="s">
        <v>1018</v>
      </c>
      <c r="AE50" s="32"/>
      <c r="AF50" s="32"/>
      <c r="AG50" s="50" t="s">
        <v>1081</v>
      </c>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12"/>
      <c r="HM50" s="12"/>
      <c r="HN50" s="12"/>
      <c r="HO50" s="12"/>
      <c r="HP50" s="12"/>
      <c r="HQ50" s="12"/>
      <c r="HR50" s="12"/>
      <c r="HS50" s="12"/>
      <c r="HT50" s="12"/>
      <c r="HU50" s="12"/>
      <c r="HV50" s="12"/>
      <c r="HW50" s="12"/>
      <c r="HX50" s="12"/>
      <c r="HY50" s="12"/>
      <c r="HZ50" s="12"/>
      <c r="IA50" s="12"/>
      <c r="IB50" s="12"/>
      <c r="IC50" s="12"/>
      <c r="ID50" s="12"/>
      <c r="IE50" s="12"/>
      <c r="IF50" s="12"/>
      <c r="IG50" s="12"/>
      <c r="IH50" s="12"/>
      <c r="IJ50" s="12"/>
      <c r="IK50" s="12"/>
      <c r="IL50" s="12"/>
      <c r="IM50" s="12"/>
      <c r="IN50" s="12"/>
      <c r="IO50" s="12"/>
      <c r="IP50" s="12"/>
      <c r="IQ50" s="12"/>
      <c r="IR50" s="12"/>
      <c r="IS50" s="12"/>
      <c r="IT50" s="12"/>
      <c r="IU50" s="12"/>
      <c r="IV50" s="12"/>
      <c r="IW50" s="12"/>
      <c r="IX50" s="12"/>
      <c r="IY50" s="12"/>
      <c r="IZ50" s="12"/>
      <c r="JA50" s="12"/>
      <c r="JB50" s="12"/>
      <c r="JC50" s="12"/>
      <c r="JD50" s="12"/>
      <c r="JE50" s="12"/>
      <c r="JF50" s="12"/>
      <c r="JG50" s="12"/>
      <c r="JH50" s="12"/>
      <c r="JI50" s="12"/>
      <c r="JJ50" s="12"/>
      <c r="JK50" s="12"/>
      <c r="JL50" s="12"/>
      <c r="JM50" s="12"/>
      <c r="JN50" s="12"/>
      <c r="JO50" s="12"/>
      <c r="JP50" s="12"/>
      <c r="JQ50" s="12"/>
      <c r="JR50" s="12"/>
      <c r="JS50" s="12"/>
      <c r="JT50" s="12"/>
      <c r="JU50" s="12"/>
      <c r="JV50" s="12"/>
      <c r="JW50" s="12"/>
      <c r="JX50" s="12"/>
      <c r="JY50" s="12"/>
      <c r="JZ50" s="12"/>
      <c r="KA50" s="12"/>
      <c r="KB50" s="12"/>
      <c r="KC50" s="12"/>
      <c r="KD50" s="12"/>
      <c r="KE50" s="12"/>
      <c r="KF50" s="12"/>
      <c r="KG50" s="12"/>
      <c r="KH50" s="12"/>
      <c r="KI50" s="12"/>
      <c r="KJ50" s="12"/>
      <c r="KK50" s="12"/>
      <c r="KL50" s="12"/>
      <c r="KM50" s="12"/>
      <c r="KN50" s="12"/>
      <c r="KO50" s="12"/>
      <c r="KP50" s="12"/>
      <c r="KQ50" s="12"/>
      <c r="KR50" s="12"/>
      <c r="KS50" s="12"/>
      <c r="KT50" s="12"/>
      <c r="KU50" s="12"/>
      <c r="KV50" s="12"/>
    </row>
    <row r="51" s="10" customFormat="1" customHeight="1" spans="1:310">
      <c r="A51" s="28">
        <v>45689</v>
      </c>
      <c r="B51" s="32" t="s">
        <v>1022</v>
      </c>
      <c r="C51" s="32" t="s">
        <v>1023</v>
      </c>
      <c r="D51" s="32" t="s">
        <v>134</v>
      </c>
      <c r="E51" s="32" t="s">
        <v>924</v>
      </c>
      <c r="F51" s="32" t="s">
        <v>1405</v>
      </c>
      <c r="G51" s="32" t="s">
        <v>1406</v>
      </c>
      <c r="H51" s="32">
        <v>2</v>
      </c>
      <c r="I51" s="49">
        <v>2022</v>
      </c>
      <c r="J51" s="36">
        <v>45714</v>
      </c>
      <c r="K51" s="36">
        <v>45762</v>
      </c>
      <c r="L51" s="32">
        <v>4</v>
      </c>
      <c r="M51" s="36">
        <v>45763</v>
      </c>
      <c r="N51" s="36">
        <v>46127</v>
      </c>
      <c r="O51" s="32" t="s">
        <v>1407</v>
      </c>
      <c r="P51" s="32" t="s">
        <v>1018</v>
      </c>
      <c r="Q51" s="32" t="s">
        <v>1018</v>
      </c>
      <c r="R51" s="32" t="s">
        <v>1017</v>
      </c>
      <c r="S51" s="37">
        <v>224.95</v>
      </c>
      <c r="T51" s="32">
        <v>70</v>
      </c>
      <c r="U51" s="32">
        <v>2025.2</v>
      </c>
      <c r="V51" s="33">
        <f>T51/S51</f>
        <v>0.311180262280507</v>
      </c>
      <c r="W51" s="39"/>
      <c r="X51" s="39" t="s">
        <v>1408</v>
      </c>
      <c r="Y51" s="32" t="s">
        <v>1018</v>
      </c>
      <c r="Z51" s="32" t="s">
        <v>1040</v>
      </c>
      <c r="AA51" s="32" t="s">
        <v>1409</v>
      </c>
      <c r="AB51" s="32" t="s">
        <v>1410</v>
      </c>
      <c r="AC51" s="32" t="s">
        <v>1411</v>
      </c>
      <c r="AD51" s="32" t="s">
        <v>1018</v>
      </c>
      <c r="AE51" s="32"/>
      <c r="AF51" s="32"/>
      <c r="AG51" s="50" t="s">
        <v>1081</v>
      </c>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12"/>
      <c r="HM51" s="12"/>
      <c r="HN51" s="12"/>
      <c r="HO51" s="12"/>
      <c r="HP51" s="12"/>
      <c r="HQ51" s="12"/>
      <c r="HR51" s="12"/>
      <c r="HS51" s="12"/>
      <c r="HT51" s="12"/>
      <c r="HU51" s="12"/>
      <c r="HV51" s="12"/>
      <c r="HW51" s="12"/>
      <c r="HX51" s="12"/>
      <c r="HY51" s="12"/>
      <c r="HZ51" s="12"/>
      <c r="IA51" s="12"/>
      <c r="IB51" s="12"/>
      <c r="IC51" s="12"/>
      <c r="ID51" s="12"/>
      <c r="IE51" s="12"/>
      <c r="IF51" s="12"/>
      <c r="IG51" s="12"/>
      <c r="IH51" s="12"/>
      <c r="II51" s="12"/>
      <c r="IJ51" s="12"/>
      <c r="IK51" s="12"/>
      <c r="IL51" s="12"/>
      <c r="IM51" s="12"/>
      <c r="IN51" s="12"/>
      <c r="IO51" s="12"/>
      <c r="IP51" s="12"/>
      <c r="IQ51" s="12"/>
      <c r="IR51" s="12"/>
      <c r="IS51" s="12"/>
      <c r="IT51" s="12"/>
      <c r="IU51" s="12"/>
      <c r="IV51" s="12"/>
      <c r="IW51" s="12"/>
      <c r="IX51" s="12"/>
      <c r="IY51" s="12"/>
      <c r="IZ51" s="12"/>
      <c r="JA51" s="12"/>
      <c r="JB51" s="12"/>
      <c r="JC51" s="12"/>
      <c r="JD51" s="12"/>
      <c r="JE51" s="12"/>
      <c r="JF51" s="12"/>
      <c r="JG51" s="12"/>
      <c r="JH51" s="12"/>
      <c r="JI51" s="12"/>
      <c r="JJ51" s="12"/>
      <c r="JK51" s="12"/>
      <c r="JL51" s="12"/>
      <c r="JM51" s="12"/>
      <c r="JN51" s="12"/>
      <c r="JO51" s="12"/>
      <c r="JP51" s="12"/>
      <c r="JQ51" s="12"/>
      <c r="JR51" s="12"/>
      <c r="JS51" s="12"/>
      <c r="JT51" s="12"/>
      <c r="JU51" s="12"/>
      <c r="JV51" s="12"/>
      <c r="JW51" s="12"/>
      <c r="JX51" s="12"/>
      <c r="JY51" s="12"/>
      <c r="JZ51" s="12"/>
      <c r="KA51" s="12"/>
      <c r="KB51" s="12"/>
      <c r="KC51" s="12"/>
      <c r="KD51" s="12"/>
      <c r="KE51" s="12"/>
      <c r="KF51" s="12"/>
      <c r="KG51" s="12"/>
      <c r="KH51" s="12"/>
      <c r="KI51" s="12"/>
      <c r="KJ51" s="12"/>
      <c r="KK51" s="12"/>
      <c r="KL51" s="12"/>
      <c r="KM51" s="12"/>
      <c r="KN51" s="12"/>
      <c r="KO51" s="12"/>
      <c r="KP51" s="12"/>
      <c r="KQ51" s="12"/>
      <c r="KR51" s="12"/>
      <c r="KS51" s="12"/>
      <c r="KT51" s="12"/>
      <c r="KU51" s="12"/>
      <c r="KV51" s="12"/>
      <c r="KW51" s="9"/>
      <c r="KX51" s="9"/>
    </row>
    <row r="52" s="12" customFormat="1" customHeight="1" spans="1:310">
      <c r="A52" s="28">
        <v>45717</v>
      </c>
      <c r="B52" s="32" t="s">
        <v>1022</v>
      </c>
      <c r="C52" s="32" t="s">
        <v>1032</v>
      </c>
      <c r="D52" s="32" t="s">
        <v>1042</v>
      </c>
      <c r="E52" s="32" t="s">
        <v>381</v>
      </c>
      <c r="F52" s="32" t="s">
        <v>417</v>
      </c>
      <c r="G52" s="32" t="s">
        <v>1412</v>
      </c>
      <c r="H52" s="32">
        <v>3</v>
      </c>
      <c r="I52" s="49">
        <v>2022</v>
      </c>
      <c r="J52" s="36" t="s">
        <v>1413</v>
      </c>
      <c r="K52" s="36" t="s">
        <v>1414</v>
      </c>
      <c r="L52" s="32">
        <v>5</v>
      </c>
      <c r="M52" s="36">
        <v>45778</v>
      </c>
      <c r="N52" s="36">
        <v>46142</v>
      </c>
      <c r="O52" s="32">
        <v>99</v>
      </c>
      <c r="P52" s="32" t="s">
        <v>1016</v>
      </c>
      <c r="Q52" s="32" t="s">
        <v>1018</v>
      </c>
      <c r="R52" s="32" t="s">
        <v>1017</v>
      </c>
      <c r="S52" s="38">
        <v>1756</v>
      </c>
      <c r="T52" s="32">
        <v>33</v>
      </c>
      <c r="U52" s="32">
        <v>2024.03</v>
      </c>
      <c r="V52" s="33">
        <f>T52/S52</f>
        <v>0.0187927107061503</v>
      </c>
      <c r="W52" s="39">
        <v>0.14386</v>
      </c>
      <c r="X52" s="39" t="s">
        <v>1415</v>
      </c>
      <c r="Y52" s="44" t="s">
        <v>1018</v>
      </c>
      <c r="Z52" s="44" t="s">
        <v>1416</v>
      </c>
      <c r="AA52" s="44" t="s">
        <v>36</v>
      </c>
      <c r="AB52" s="44" t="s">
        <v>1417</v>
      </c>
      <c r="AC52" s="44" t="s">
        <v>43</v>
      </c>
      <c r="AD52" s="44" t="s">
        <v>1016</v>
      </c>
      <c r="AE52" s="83" t="s">
        <v>1016</v>
      </c>
      <c r="AF52" s="84" t="s">
        <v>1018</v>
      </c>
      <c r="AG52" s="44" t="s">
        <v>1418</v>
      </c>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c r="HX52" s="10"/>
      <c r="HY52" s="10"/>
      <c r="HZ52" s="10"/>
      <c r="IA52" s="10"/>
      <c r="IB52" s="10"/>
      <c r="IC52" s="10"/>
      <c r="ID52" s="10"/>
      <c r="IE52" s="10"/>
      <c r="IF52" s="10"/>
      <c r="IG52" s="10"/>
      <c r="IH52" s="10"/>
      <c r="II52" s="11"/>
      <c r="IJ52" s="9"/>
      <c r="IK52" s="9"/>
      <c r="IL52" s="9"/>
      <c r="IM52" s="9"/>
      <c r="IN52" s="9"/>
      <c r="IO52" s="9"/>
      <c r="IP52" s="9"/>
      <c r="IQ52" s="9"/>
      <c r="IR52" s="9"/>
      <c r="IS52" s="9"/>
      <c r="IT52" s="9"/>
      <c r="IU52" s="9"/>
      <c r="IV52" s="9"/>
      <c r="IW52" s="9"/>
      <c r="IX52" s="9"/>
      <c r="IY52" s="9"/>
      <c r="IZ52" s="9"/>
      <c r="JA52" s="9"/>
      <c r="JB52" s="9"/>
      <c r="JC52" s="9"/>
      <c r="JD52" s="9"/>
      <c r="JE52" s="9"/>
      <c r="JF52" s="9"/>
      <c r="JG52" s="9"/>
      <c r="JH52" s="9"/>
      <c r="JI52" s="9"/>
      <c r="JJ52" s="9"/>
      <c r="JK52" s="9"/>
      <c r="JL52" s="9"/>
      <c r="JM52" s="9"/>
      <c r="JN52" s="9"/>
      <c r="JO52" s="9"/>
      <c r="JP52" s="9"/>
      <c r="JQ52" s="9"/>
      <c r="JR52" s="9"/>
      <c r="JS52" s="9"/>
      <c r="JT52" s="9"/>
      <c r="JU52" s="9"/>
      <c r="JV52" s="9"/>
      <c r="JW52" s="9"/>
      <c r="JX52" s="9"/>
      <c r="JY52" s="9"/>
      <c r="JZ52" s="9"/>
      <c r="KA52" s="9"/>
      <c r="KB52" s="9"/>
      <c r="KC52" s="9"/>
      <c r="KD52" s="9"/>
      <c r="KE52" s="9"/>
      <c r="KF52" s="9"/>
      <c r="KG52" s="9"/>
      <c r="KH52" s="9"/>
      <c r="KI52" s="9"/>
      <c r="KJ52" s="9"/>
      <c r="KK52" s="9"/>
      <c r="KL52" s="9"/>
      <c r="KM52" s="9"/>
      <c r="KN52" s="9"/>
      <c r="KO52" s="9"/>
      <c r="KP52" s="9"/>
      <c r="KQ52" s="9"/>
      <c r="KR52" s="9"/>
      <c r="KS52" s="9"/>
      <c r="KT52" s="9"/>
      <c r="KU52" s="9"/>
      <c r="KV52" s="9"/>
    </row>
    <row r="53" s="12" customFormat="1" customHeight="1" spans="1:310">
      <c r="A53" s="28">
        <v>45717</v>
      </c>
      <c r="B53" s="29" t="s">
        <v>1022</v>
      </c>
      <c r="C53" s="29" t="s">
        <v>1150</v>
      </c>
      <c r="D53" s="29" t="s">
        <v>134</v>
      </c>
      <c r="E53" s="30" t="s">
        <v>833</v>
      </c>
      <c r="F53" s="29" t="s">
        <v>1419</v>
      </c>
      <c r="G53" s="29" t="s">
        <v>1420</v>
      </c>
      <c r="H53" s="29">
        <v>3</v>
      </c>
      <c r="I53" s="30">
        <v>2022</v>
      </c>
      <c r="J53" s="45" t="s">
        <v>1421</v>
      </c>
      <c r="K53" s="45" t="s">
        <v>1422</v>
      </c>
      <c r="L53" s="30">
        <v>3</v>
      </c>
      <c r="M53" s="45" t="s">
        <v>1423</v>
      </c>
      <c r="N53" s="45" t="s">
        <v>1424</v>
      </c>
      <c r="O53" s="29" t="s">
        <v>1425</v>
      </c>
      <c r="P53" s="29" t="s">
        <v>1018</v>
      </c>
      <c r="Q53" s="29" t="s">
        <v>1018</v>
      </c>
      <c r="R53" s="29" t="s">
        <v>1017</v>
      </c>
      <c r="S53" s="60">
        <v>157.2</v>
      </c>
      <c r="T53" s="29">
        <f>20/4</f>
        <v>5</v>
      </c>
      <c r="U53" s="29">
        <v>2025</v>
      </c>
      <c r="V53" s="46">
        <f>T53/S53</f>
        <v>0.0318066157760814</v>
      </c>
      <c r="W53" s="34"/>
      <c r="X53" s="34"/>
      <c r="Y53" s="29" t="s">
        <v>1174</v>
      </c>
      <c r="Z53" s="29" t="s">
        <v>1426</v>
      </c>
      <c r="AA53" s="29" t="s">
        <v>1427</v>
      </c>
      <c r="AB53" s="35" t="s">
        <v>1428</v>
      </c>
      <c r="AC53" s="29" t="s">
        <v>37</v>
      </c>
      <c r="AD53" s="29" t="s">
        <v>1018</v>
      </c>
      <c r="AE53" s="29"/>
      <c r="AF53" s="29"/>
      <c r="AG53" s="2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IJ53" s="9"/>
      <c r="IK53" s="9"/>
      <c r="IL53" s="9"/>
      <c r="IM53" s="9"/>
      <c r="IN53" s="9"/>
      <c r="IO53" s="9"/>
      <c r="IP53" s="9"/>
      <c r="IQ53" s="9"/>
      <c r="IR53" s="9"/>
      <c r="IS53" s="9"/>
      <c r="IT53" s="9"/>
      <c r="IU53" s="9"/>
      <c r="IV53" s="9"/>
      <c r="IW53" s="9"/>
      <c r="IX53" s="9"/>
      <c r="IY53" s="9"/>
      <c r="IZ53" s="9"/>
      <c r="JA53" s="9"/>
      <c r="JB53" s="9"/>
      <c r="JC53" s="9"/>
      <c r="JD53" s="9"/>
      <c r="JE53" s="9"/>
      <c r="JF53" s="9"/>
      <c r="JG53" s="9"/>
      <c r="JH53" s="9"/>
      <c r="JI53" s="9"/>
      <c r="JJ53" s="9"/>
      <c r="JK53" s="9"/>
      <c r="JL53" s="9"/>
      <c r="JM53" s="9"/>
      <c r="JN53" s="9"/>
      <c r="JO53" s="9"/>
      <c r="JP53" s="9"/>
      <c r="JQ53" s="9"/>
      <c r="JR53" s="9"/>
      <c r="JS53" s="9"/>
      <c r="JT53" s="9"/>
      <c r="JU53" s="9"/>
      <c r="JV53" s="9"/>
      <c r="JW53" s="9"/>
      <c r="JX53" s="9"/>
      <c r="JY53" s="9"/>
      <c r="JZ53" s="9"/>
      <c r="KA53" s="9"/>
      <c r="KB53" s="9"/>
      <c r="KC53" s="9"/>
      <c r="KD53" s="9"/>
      <c r="KE53" s="9"/>
      <c r="KF53" s="9"/>
      <c r="KG53" s="9"/>
      <c r="KH53" s="9"/>
      <c r="KI53" s="9"/>
      <c r="KJ53" s="9"/>
      <c r="KK53" s="9"/>
      <c r="KL53" s="9"/>
      <c r="KM53" s="9"/>
      <c r="KN53" s="9"/>
      <c r="KO53" s="9"/>
      <c r="KP53" s="9"/>
      <c r="KQ53" s="9"/>
      <c r="KR53" s="9"/>
      <c r="KS53" s="9"/>
      <c r="KT53" s="9"/>
      <c r="KU53" s="9"/>
      <c r="KV53" s="9"/>
    </row>
    <row r="54" s="11" customFormat="1" customHeight="1" spans="1:310">
      <c r="A54" s="28">
        <v>45717</v>
      </c>
      <c r="B54" s="29" t="s">
        <v>1006</v>
      </c>
      <c r="C54" s="29" t="s">
        <v>1057</v>
      </c>
      <c r="D54" s="29" t="s">
        <v>134</v>
      </c>
      <c r="E54" s="29" t="s">
        <v>869</v>
      </c>
      <c r="F54" s="51" t="s">
        <v>1429</v>
      </c>
      <c r="G54" s="29" t="s">
        <v>1430</v>
      </c>
      <c r="H54" s="29">
        <v>3</v>
      </c>
      <c r="I54" s="29">
        <v>2025</v>
      </c>
      <c r="J54" s="29" t="s">
        <v>1431</v>
      </c>
      <c r="K54" s="29" t="s">
        <v>1432</v>
      </c>
      <c r="L54" s="29">
        <v>6</v>
      </c>
      <c r="M54" s="29" t="s">
        <v>1433</v>
      </c>
      <c r="N54" s="29" t="s">
        <v>1434</v>
      </c>
      <c r="O54" s="29">
        <v>92</v>
      </c>
      <c r="P54" s="29" t="s">
        <v>1016</v>
      </c>
      <c r="Q54" s="29" t="s">
        <v>1018</v>
      </c>
      <c r="R54" s="29"/>
      <c r="S54" s="30">
        <v>314.22</v>
      </c>
      <c r="T54" s="29">
        <v>10</v>
      </c>
      <c r="U54" s="29">
        <v>2025.5</v>
      </c>
      <c r="V54" s="64">
        <f>T54/S54</f>
        <v>0.0318248361020941</v>
      </c>
      <c r="W54" s="86"/>
      <c r="X54" s="34"/>
      <c r="Y54" s="29" t="s">
        <v>1018</v>
      </c>
      <c r="Z54" s="29" t="s">
        <v>1435</v>
      </c>
      <c r="AA54" s="29" t="s">
        <v>1436</v>
      </c>
      <c r="AB54" s="29" t="s">
        <v>1437</v>
      </c>
      <c r="AC54" s="29" t="s">
        <v>37</v>
      </c>
      <c r="AD54" s="29" t="s">
        <v>1018</v>
      </c>
      <c r="AE54" s="29"/>
      <c r="AF54" s="29"/>
      <c r="AG54" s="50" t="s">
        <v>1438</v>
      </c>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c r="FT54" s="9"/>
      <c r="FU54" s="9"/>
      <c r="FV54" s="9"/>
      <c r="FW54" s="9"/>
      <c r="FX54" s="9"/>
      <c r="FY54" s="9"/>
      <c r="FZ54" s="9"/>
      <c r="GA54" s="9"/>
      <c r="GB54" s="9"/>
      <c r="GC54" s="9"/>
      <c r="GD54" s="9"/>
      <c r="GE54" s="9"/>
      <c r="GF54" s="9"/>
      <c r="GG54" s="9"/>
      <c r="GH54" s="9"/>
      <c r="GI54" s="9"/>
      <c r="GJ54" s="9"/>
      <c r="GK54" s="9"/>
      <c r="GL54" s="9"/>
      <c r="GM54" s="9"/>
      <c r="GN54" s="9"/>
      <c r="GO54" s="9"/>
      <c r="GP54" s="9"/>
      <c r="GQ54" s="9"/>
      <c r="GR54" s="9"/>
      <c r="GS54" s="9"/>
      <c r="GT54" s="9"/>
      <c r="GU54" s="9"/>
      <c r="GV54" s="9"/>
      <c r="GW54" s="9"/>
      <c r="GX54" s="9"/>
      <c r="GY54" s="9"/>
      <c r="GZ54" s="9"/>
      <c r="HA54" s="9"/>
      <c r="HB54" s="9"/>
      <c r="HC54" s="9"/>
      <c r="HD54" s="9"/>
      <c r="HE54" s="9"/>
      <c r="HF54" s="9"/>
      <c r="HG54" s="9"/>
      <c r="HH54" s="9"/>
      <c r="HI54" s="9"/>
      <c r="HJ54" s="9"/>
      <c r="HK54" s="9"/>
      <c r="HL54" s="9"/>
      <c r="HM54" s="9"/>
      <c r="HN54" s="9"/>
      <c r="HO54" s="9"/>
      <c r="HP54" s="9"/>
      <c r="HQ54" s="9"/>
      <c r="HR54" s="9"/>
      <c r="HS54" s="9"/>
      <c r="HT54" s="9"/>
      <c r="HU54" s="9"/>
      <c r="HV54" s="9"/>
      <c r="HW54" s="9"/>
      <c r="HX54" s="9"/>
      <c r="HY54" s="9"/>
      <c r="HZ54" s="9"/>
      <c r="IA54" s="9"/>
      <c r="IB54" s="9"/>
      <c r="IC54" s="9"/>
      <c r="ID54" s="9"/>
      <c r="IE54" s="9"/>
      <c r="IF54" s="9"/>
      <c r="IG54" s="9"/>
      <c r="IH54" s="9"/>
      <c r="II54" s="9"/>
      <c r="IJ54" s="9"/>
      <c r="IK54" s="9"/>
      <c r="IL54" s="9"/>
      <c r="IM54" s="9"/>
      <c r="IN54" s="9"/>
      <c r="IO54" s="9"/>
      <c r="IP54" s="9"/>
      <c r="IQ54" s="9"/>
      <c r="IR54" s="9"/>
      <c r="IS54" s="9"/>
      <c r="IT54" s="9"/>
      <c r="IU54" s="9"/>
      <c r="IV54" s="9"/>
      <c r="IW54" s="9"/>
      <c r="IX54" s="9"/>
      <c r="IY54" s="9"/>
      <c r="IZ54" s="9"/>
      <c r="JA54" s="9"/>
      <c r="JB54" s="9"/>
      <c r="JC54" s="9"/>
      <c r="JD54" s="9"/>
      <c r="JE54" s="9"/>
      <c r="JF54" s="9"/>
      <c r="JG54" s="9"/>
      <c r="JH54" s="9"/>
      <c r="JI54" s="9"/>
      <c r="JJ54" s="9"/>
      <c r="JK54" s="9"/>
      <c r="JL54" s="9"/>
      <c r="JM54" s="9"/>
      <c r="JN54" s="9"/>
      <c r="JO54" s="9"/>
      <c r="JP54" s="9"/>
      <c r="JQ54" s="9"/>
      <c r="JR54" s="9"/>
      <c r="JS54" s="9"/>
      <c r="JT54" s="9"/>
      <c r="JU54" s="9"/>
      <c r="JV54" s="9"/>
      <c r="JW54" s="9"/>
      <c r="JX54" s="9"/>
      <c r="JY54" s="9"/>
      <c r="JZ54" s="9"/>
      <c r="KA54" s="9"/>
      <c r="KB54" s="9"/>
      <c r="KC54" s="9"/>
      <c r="KD54" s="9"/>
      <c r="KE54" s="9"/>
      <c r="KF54" s="9"/>
      <c r="KG54" s="9"/>
      <c r="KH54" s="9"/>
      <c r="KI54" s="9"/>
      <c r="KJ54" s="9"/>
      <c r="KK54" s="9"/>
      <c r="KL54" s="9"/>
      <c r="KM54" s="9"/>
      <c r="KN54" s="9"/>
      <c r="KO54" s="9"/>
      <c r="KP54" s="9"/>
      <c r="KQ54" s="9"/>
      <c r="KR54" s="9"/>
      <c r="KS54" s="9"/>
      <c r="KT54" s="9"/>
      <c r="KU54" s="9"/>
      <c r="KV54" s="9"/>
      <c r="KW54" s="18"/>
      <c r="KX54" s="18"/>
    </row>
    <row r="55" s="11" customFormat="1" customHeight="1" spans="1:310">
      <c r="A55" s="28">
        <v>45717</v>
      </c>
      <c r="B55" s="32" t="s">
        <v>1022</v>
      </c>
      <c r="C55" s="32" t="s">
        <v>1057</v>
      </c>
      <c r="D55" s="32" t="s">
        <v>1058</v>
      </c>
      <c r="E55" s="32" t="s">
        <v>1225</v>
      </c>
      <c r="F55" s="32" t="s">
        <v>1439</v>
      </c>
      <c r="G55" s="32" t="s">
        <v>1440</v>
      </c>
      <c r="H55" s="32">
        <v>3</v>
      </c>
      <c r="I55" s="49">
        <v>2022</v>
      </c>
      <c r="J55" s="36" t="s">
        <v>1441</v>
      </c>
      <c r="K55" s="36" t="s">
        <v>1432</v>
      </c>
      <c r="L55" s="32">
        <v>6</v>
      </c>
      <c r="M55" s="36" t="s">
        <v>1433</v>
      </c>
      <c r="N55" s="36" t="s">
        <v>1434</v>
      </c>
      <c r="O55" s="32">
        <v>120</v>
      </c>
      <c r="P55" s="32" t="s">
        <v>1016</v>
      </c>
      <c r="Q55" s="32" t="s">
        <v>1018</v>
      </c>
      <c r="R55" s="32" t="s">
        <v>1017</v>
      </c>
      <c r="S55" s="32">
        <v>3874.17</v>
      </c>
      <c r="T55" s="32">
        <f>172/4</f>
        <v>43</v>
      </c>
      <c r="U55" s="32">
        <v>2025.1</v>
      </c>
      <c r="V55" s="33">
        <f>T55/S55</f>
        <v>0.0110991515602052</v>
      </c>
      <c r="W55" s="39">
        <v>1.29</v>
      </c>
      <c r="X55" s="39" t="s">
        <v>1442</v>
      </c>
      <c r="Y55" s="44" t="s">
        <v>1018</v>
      </c>
      <c r="Z55" s="44" t="s">
        <v>1443</v>
      </c>
      <c r="AA55" s="44" t="s">
        <v>442</v>
      </c>
      <c r="AB55" s="44" t="s">
        <v>1444</v>
      </c>
      <c r="AC55" s="44" t="s">
        <v>37</v>
      </c>
      <c r="AD55" s="44" t="s">
        <v>1018</v>
      </c>
      <c r="AE55" s="44"/>
      <c r="AF55" s="44"/>
      <c r="AG55" s="44"/>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0"/>
      <c r="HO55" s="10"/>
      <c r="HP55" s="10"/>
      <c r="HQ55" s="10"/>
      <c r="HR55" s="10"/>
      <c r="HS55" s="10"/>
      <c r="HT55" s="10"/>
      <c r="HU55" s="10"/>
      <c r="HV55" s="10"/>
      <c r="HW55" s="10"/>
      <c r="HX55" s="10"/>
      <c r="HY55" s="10"/>
      <c r="HZ55" s="10"/>
      <c r="IA55" s="10"/>
      <c r="IB55" s="10"/>
      <c r="IC55" s="10"/>
      <c r="ID55" s="10"/>
      <c r="IE55" s="10"/>
      <c r="IF55" s="10"/>
      <c r="IG55" s="10"/>
      <c r="IH55" s="10"/>
      <c r="IJ55" s="9"/>
      <c r="IK55" s="9"/>
      <c r="IL55" s="9"/>
      <c r="IM55" s="9"/>
      <c r="IN55" s="9"/>
      <c r="IO55" s="9"/>
      <c r="IP55" s="9"/>
      <c r="IQ55" s="9"/>
      <c r="IR55" s="9"/>
      <c r="IS55" s="9"/>
      <c r="IT55" s="9"/>
      <c r="IU55" s="9"/>
      <c r="IV55" s="9"/>
      <c r="IW55" s="9"/>
      <c r="IX55" s="9"/>
      <c r="IY55" s="9"/>
      <c r="IZ55" s="9"/>
      <c r="JA55" s="9"/>
      <c r="JB55" s="9"/>
      <c r="JC55" s="9"/>
      <c r="JD55" s="9"/>
      <c r="JE55" s="9"/>
      <c r="JF55" s="9"/>
      <c r="JG55" s="9"/>
      <c r="JH55" s="9"/>
      <c r="JI55" s="9"/>
      <c r="JJ55" s="9"/>
      <c r="JK55" s="9"/>
      <c r="JL55" s="9"/>
      <c r="JM55" s="9"/>
      <c r="JN55" s="9"/>
      <c r="JO55" s="9"/>
      <c r="JP55" s="9"/>
      <c r="JQ55" s="9"/>
      <c r="JR55" s="9"/>
      <c r="JS55" s="9"/>
      <c r="JT55" s="9"/>
      <c r="JU55" s="9"/>
      <c r="JV55" s="9"/>
      <c r="JW55" s="9"/>
      <c r="JX55" s="9"/>
      <c r="JY55" s="9"/>
      <c r="JZ55" s="9"/>
      <c r="KA55" s="9"/>
      <c r="KB55" s="9"/>
      <c r="KC55" s="9"/>
      <c r="KD55" s="9"/>
      <c r="KE55" s="9"/>
      <c r="KF55" s="9"/>
      <c r="KG55" s="9"/>
      <c r="KH55" s="9"/>
      <c r="KI55" s="9"/>
      <c r="KJ55" s="9"/>
      <c r="KK55" s="9"/>
      <c r="KL55" s="9"/>
      <c r="KM55" s="9"/>
      <c r="KN55" s="9"/>
      <c r="KO55" s="9"/>
      <c r="KP55" s="9"/>
      <c r="KQ55" s="9"/>
      <c r="KR55" s="9"/>
      <c r="KS55" s="9"/>
      <c r="KT55" s="9"/>
      <c r="KU55" s="9"/>
      <c r="KV55" s="9"/>
      <c r="KW55" s="12"/>
      <c r="KX55" s="12"/>
    </row>
    <row r="56" s="10" customFormat="1" customHeight="1" spans="1:310">
      <c r="A56" s="28">
        <v>45717</v>
      </c>
      <c r="B56" s="29" t="s">
        <v>1006</v>
      </c>
      <c r="C56" s="32" t="s">
        <v>1007</v>
      </c>
      <c r="D56" s="32" t="s">
        <v>1215</v>
      </c>
      <c r="E56" s="49" t="s">
        <v>1445</v>
      </c>
      <c r="F56" s="51" t="s">
        <v>1446</v>
      </c>
      <c r="G56" s="29" t="s">
        <v>1447</v>
      </c>
      <c r="H56" s="29">
        <v>3</v>
      </c>
      <c r="I56" s="29">
        <v>2025</v>
      </c>
      <c r="J56" s="29" t="s">
        <v>1253</v>
      </c>
      <c r="K56" s="29" t="s">
        <v>1448</v>
      </c>
      <c r="L56" s="29">
        <v>6</v>
      </c>
      <c r="M56" s="29" t="s">
        <v>1449</v>
      </c>
      <c r="N56" s="29" t="s">
        <v>1450</v>
      </c>
      <c r="O56" s="29" t="s">
        <v>1451</v>
      </c>
      <c r="P56" s="29" t="s">
        <v>1018</v>
      </c>
      <c r="Q56" s="29" t="s">
        <v>1016</v>
      </c>
      <c r="R56" s="32" t="s">
        <v>1017</v>
      </c>
      <c r="S56" s="60">
        <v>363.94</v>
      </c>
      <c r="T56" s="29">
        <v>50</v>
      </c>
      <c r="U56" s="29" t="s">
        <v>1452</v>
      </c>
      <c r="V56" s="29"/>
      <c r="W56" s="86"/>
      <c r="X56" s="34"/>
      <c r="Y56" s="29" t="s">
        <v>1018</v>
      </c>
      <c r="Z56" s="32" t="s">
        <v>1453</v>
      </c>
      <c r="AA56" s="29" t="s">
        <v>1183</v>
      </c>
      <c r="AB56" s="29" t="s">
        <v>1454</v>
      </c>
      <c r="AC56" s="29" t="s">
        <v>1358</v>
      </c>
      <c r="AD56" s="29" t="s">
        <v>1018</v>
      </c>
      <c r="AE56" s="29"/>
      <c r="AF56" s="29"/>
      <c r="AG56" s="29" t="s">
        <v>1455</v>
      </c>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9"/>
      <c r="GB56" s="9"/>
      <c r="GC56" s="9"/>
      <c r="GD56" s="9"/>
      <c r="GE56" s="9"/>
      <c r="GF56" s="9"/>
      <c r="GG56" s="9"/>
      <c r="GH56" s="9"/>
      <c r="GI56" s="9"/>
      <c r="GJ56" s="9"/>
      <c r="GK56" s="9"/>
      <c r="GL56" s="9"/>
      <c r="GM56" s="9"/>
      <c r="GN56" s="9"/>
      <c r="GO56" s="9"/>
      <c r="GP56" s="9"/>
      <c r="GQ56" s="9"/>
      <c r="GR56" s="9"/>
      <c r="GS56" s="9"/>
      <c r="GT56" s="9"/>
      <c r="GU56" s="9"/>
      <c r="GV56" s="9"/>
      <c r="GW56" s="9"/>
      <c r="GX56" s="9"/>
      <c r="GY56" s="9"/>
      <c r="GZ56" s="9"/>
      <c r="HA56" s="9"/>
      <c r="HB56" s="9"/>
      <c r="HC56" s="9"/>
      <c r="HD56" s="9"/>
      <c r="HE56" s="9"/>
      <c r="HF56" s="9"/>
      <c r="HG56" s="9"/>
      <c r="HH56" s="9"/>
      <c r="HI56" s="9"/>
      <c r="HJ56" s="9"/>
      <c r="HK56" s="9"/>
      <c r="HL56" s="9"/>
      <c r="HM56" s="9"/>
      <c r="HN56" s="9"/>
      <c r="HO56" s="9"/>
      <c r="HP56" s="9"/>
      <c r="HQ56" s="9"/>
      <c r="HR56" s="9"/>
      <c r="HS56" s="9"/>
      <c r="HT56" s="9"/>
      <c r="HU56" s="9"/>
      <c r="HV56" s="9"/>
      <c r="HW56" s="9"/>
      <c r="HX56" s="9"/>
      <c r="HY56" s="9"/>
      <c r="HZ56" s="9"/>
      <c r="IA56" s="9"/>
      <c r="IB56" s="9"/>
      <c r="IC56" s="9"/>
      <c r="ID56" s="9"/>
      <c r="IE56" s="9"/>
      <c r="IF56" s="9"/>
      <c r="IG56" s="9"/>
      <c r="IH56" s="9"/>
      <c r="II56" s="9"/>
      <c r="IJ56" s="9"/>
      <c r="IK56" s="9"/>
      <c r="IL56" s="9"/>
      <c r="IM56" s="9"/>
      <c r="IN56" s="9"/>
      <c r="IO56" s="9"/>
      <c r="IP56" s="9"/>
      <c r="IQ56" s="9"/>
      <c r="IR56" s="9"/>
      <c r="IS56" s="9"/>
      <c r="IT56" s="9"/>
      <c r="IU56" s="9"/>
      <c r="IV56" s="9"/>
      <c r="IW56" s="9"/>
      <c r="IX56" s="9"/>
      <c r="IY56" s="9"/>
      <c r="IZ56" s="9"/>
      <c r="JA56" s="9"/>
      <c r="JB56" s="9"/>
      <c r="JC56" s="9"/>
      <c r="JD56" s="9"/>
      <c r="JE56" s="9"/>
      <c r="JF56" s="9"/>
      <c r="JG56" s="9"/>
      <c r="JH56" s="9"/>
      <c r="JI56" s="9"/>
      <c r="JJ56" s="9"/>
      <c r="JK56" s="9"/>
      <c r="JL56" s="9"/>
      <c r="JM56" s="9"/>
      <c r="JN56" s="9"/>
      <c r="JO56" s="9"/>
      <c r="JP56" s="9"/>
      <c r="JQ56" s="9"/>
      <c r="JR56" s="9"/>
      <c r="JS56" s="9"/>
      <c r="JT56" s="9"/>
      <c r="JU56" s="9"/>
      <c r="JV56" s="9"/>
      <c r="JW56" s="9"/>
      <c r="JX56" s="9"/>
      <c r="JY56" s="9"/>
      <c r="JZ56" s="9"/>
      <c r="KA56" s="9"/>
      <c r="KB56" s="9"/>
      <c r="KC56" s="9"/>
      <c r="KD56" s="9"/>
      <c r="KE56" s="9"/>
      <c r="KF56" s="9"/>
      <c r="KG56" s="9"/>
      <c r="KH56" s="9"/>
      <c r="KI56" s="9"/>
      <c r="KJ56" s="9"/>
      <c r="KK56" s="9"/>
      <c r="KL56" s="9"/>
      <c r="KM56" s="9"/>
      <c r="KN56" s="9"/>
      <c r="KO56" s="9"/>
      <c r="KP56" s="9"/>
      <c r="KQ56" s="9"/>
      <c r="KR56" s="9"/>
      <c r="KS56" s="9"/>
      <c r="KT56" s="9"/>
      <c r="KU56" s="9"/>
      <c r="KV56" s="9"/>
      <c r="KW56" s="9"/>
      <c r="KX56" s="9"/>
    </row>
    <row r="57" s="10" customFormat="1" customHeight="1" spans="1:310">
      <c r="A57" s="28">
        <v>45717</v>
      </c>
      <c r="B57" s="32" t="s">
        <v>1022</v>
      </c>
      <c r="C57" s="32" t="s">
        <v>1023</v>
      </c>
      <c r="D57" s="32" t="s">
        <v>134</v>
      </c>
      <c r="E57" s="32" t="s">
        <v>561</v>
      </c>
      <c r="F57" s="32" t="s">
        <v>1456</v>
      </c>
      <c r="G57" s="32" t="s">
        <v>1457</v>
      </c>
      <c r="H57" s="32">
        <v>3</v>
      </c>
      <c r="I57" s="32">
        <v>2023</v>
      </c>
      <c r="J57" s="36" t="s">
        <v>1458</v>
      </c>
      <c r="K57" s="36" t="s">
        <v>1414</v>
      </c>
      <c r="L57" s="32">
        <v>5</v>
      </c>
      <c r="M57" s="36">
        <v>45778</v>
      </c>
      <c r="N57" s="36">
        <v>46142</v>
      </c>
      <c r="O57" s="32" t="s">
        <v>1459</v>
      </c>
      <c r="P57" s="32" t="s">
        <v>1016</v>
      </c>
      <c r="Q57" s="32" t="s">
        <v>1018</v>
      </c>
      <c r="R57" s="32" t="s">
        <v>1039</v>
      </c>
      <c r="S57" s="37">
        <v>90.44</v>
      </c>
      <c r="T57" s="32">
        <v>43.6</v>
      </c>
      <c r="U57" s="32">
        <v>2025.3</v>
      </c>
      <c r="V57" s="33">
        <f>T57/S57</f>
        <v>0.482087571870854</v>
      </c>
      <c r="W57" s="39">
        <v>0.43</v>
      </c>
      <c r="X57" s="39" t="s">
        <v>1460</v>
      </c>
      <c r="Y57" s="32" t="s">
        <v>1018</v>
      </c>
      <c r="Z57" s="32" t="s">
        <v>1461</v>
      </c>
      <c r="AA57" s="32" t="s">
        <v>1462</v>
      </c>
      <c r="AB57" s="32" t="s">
        <v>1463</v>
      </c>
      <c r="AC57" s="32" t="s">
        <v>1464</v>
      </c>
      <c r="AD57" s="32" t="s">
        <v>1018</v>
      </c>
      <c r="AE57" s="32"/>
      <c r="AF57" s="32"/>
      <c r="AG57" s="50" t="s">
        <v>1081</v>
      </c>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row>
    <row r="58" s="11" customFormat="1" customHeight="1" spans="1:310">
      <c r="A58" s="28">
        <v>45717</v>
      </c>
      <c r="B58" s="29" t="s">
        <v>1006</v>
      </c>
      <c r="C58" s="29" t="s">
        <v>1023</v>
      </c>
      <c r="D58" s="29" t="s">
        <v>134</v>
      </c>
      <c r="E58" s="29" t="s">
        <v>924</v>
      </c>
      <c r="F58" s="29" t="s">
        <v>1465</v>
      </c>
      <c r="G58" s="29" t="s">
        <v>1466</v>
      </c>
      <c r="H58" s="29">
        <v>3</v>
      </c>
      <c r="I58" s="29">
        <v>2025</v>
      </c>
      <c r="J58" s="29" t="s">
        <v>1467</v>
      </c>
      <c r="K58" s="29" t="s">
        <v>1432</v>
      </c>
      <c r="L58" s="29">
        <v>6</v>
      </c>
      <c r="M58" s="45" t="s">
        <v>1433</v>
      </c>
      <c r="N58" s="45" t="s">
        <v>1434</v>
      </c>
      <c r="O58" s="29" t="s">
        <v>1468</v>
      </c>
      <c r="P58" s="29" t="s">
        <v>1016</v>
      </c>
      <c r="Q58" s="29"/>
      <c r="R58" s="29"/>
      <c r="S58" s="29">
        <v>240.7</v>
      </c>
      <c r="T58" s="29"/>
      <c r="U58" s="29"/>
      <c r="V58" s="29"/>
      <c r="W58" s="86"/>
      <c r="X58" s="34"/>
      <c r="Y58" s="29" t="s">
        <v>1018</v>
      </c>
      <c r="Z58" s="29" t="s">
        <v>1469</v>
      </c>
      <c r="AA58" s="29" t="s">
        <v>1470</v>
      </c>
      <c r="AB58" s="29" t="s">
        <v>1471</v>
      </c>
      <c r="AC58" s="29" t="s">
        <v>1358</v>
      </c>
      <c r="AD58" s="47" t="s">
        <v>1018</v>
      </c>
      <c r="AE58" s="47"/>
      <c r="AF58" s="47"/>
      <c r="AG58" s="50" t="s">
        <v>1081</v>
      </c>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c r="GV58" s="9"/>
      <c r="GW58" s="9"/>
      <c r="GX58" s="9"/>
      <c r="GY58" s="9"/>
      <c r="GZ58" s="9"/>
      <c r="HA58" s="9"/>
      <c r="HB58" s="9"/>
      <c r="HC58" s="9"/>
      <c r="HD58" s="9"/>
      <c r="HE58" s="9"/>
      <c r="HF58" s="9"/>
      <c r="HG58" s="9"/>
      <c r="HH58" s="9"/>
      <c r="HI58" s="9"/>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9"/>
      <c r="IW58" s="9"/>
      <c r="IX58" s="9"/>
      <c r="IY58" s="9"/>
      <c r="IZ58" s="9"/>
      <c r="JA58" s="9"/>
      <c r="JB58" s="9"/>
      <c r="JC58" s="9"/>
      <c r="JD58" s="9"/>
      <c r="JE58" s="9"/>
      <c r="JF58" s="9"/>
      <c r="JG58" s="9"/>
      <c r="JH58" s="9"/>
      <c r="JI58" s="9"/>
      <c r="JJ58" s="9"/>
      <c r="JK58" s="9"/>
      <c r="JL58" s="9"/>
      <c r="JM58" s="9"/>
      <c r="JN58" s="9"/>
      <c r="JO58" s="9"/>
      <c r="JP58" s="9"/>
      <c r="JQ58" s="9"/>
      <c r="JR58" s="9"/>
      <c r="JS58" s="9"/>
      <c r="JT58" s="9"/>
      <c r="JU58" s="9"/>
      <c r="JV58" s="9"/>
      <c r="JW58" s="9"/>
      <c r="JX58" s="9"/>
      <c r="JY58" s="9"/>
      <c r="JZ58" s="9"/>
      <c r="KA58" s="9"/>
      <c r="KB58" s="9"/>
      <c r="KC58" s="9"/>
      <c r="KD58" s="9"/>
      <c r="KE58" s="9"/>
      <c r="KF58" s="9"/>
      <c r="KG58" s="9"/>
      <c r="KH58" s="9"/>
      <c r="KI58" s="9"/>
      <c r="KJ58" s="9"/>
      <c r="KK58" s="9"/>
      <c r="KL58" s="9"/>
      <c r="KM58" s="9"/>
      <c r="KN58" s="9"/>
      <c r="KO58" s="9"/>
      <c r="KP58" s="9"/>
      <c r="KQ58" s="9"/>
      <c r="KR58" s="9"/>
      <c r="KS58" s="9"/>
      <c r="KT58" s="9"/>
      <c r="KU58" s="9"/>
      <c r="KV58" s="9"/>
      <c r="KW58" s="9"/>
      <c r="KX58" s="9"/>
    </row>
    <row r="59" s="10" customFormat="1" customHeight="1" spans="1:310">
      <c r="A59" s="28">
        <v>45717</v>
      </c>
      <c r="B59" s="32" t="s">
        <v>1022</v>
      </c>
      <c r="C59" s="32" t="s">
        <v>1023</v>
      </c>
      <c r="D59" s="32" t="s">
        <v>134</v>
      </c>
      <c r="E59" s="32" t="s">
        <v>924</v>
      </c>
      <c r="F59" s="32" t="s">
        <v>1472</v>
      </c>
      <c r="G59" s="32" t="s">
        <v>1473</v>
      </c>
      <c r="H59" s="32">
        <v>3</v>
      </c>
      <c r="I59" s="49">
        <v>2024</v>
      </c>
      <c r="J59" s="36" t="s">
        <v>1474</v>
      </c>
      <c r="K59" s="36" t="s">
        <v>1414</v>
      </c>
      <c r="L59" s="32">
        <v>5</v>
      </c>
      <c r="M59" s="36" t="s">
        <v>1475</v>
      </c>
      <c r="N59" s="36" t="s">
        <v>1051</v>
      </c>
      <c r="O59" s="32">
        <v>89</v>
      </c>
      <c r="P59" s="32" t="s">
        <v>1018</v>
      </c>
      <c r="Q59" s="32" t="s">
        <v>1018</v>
      </c>
      <c r="R59" s="32" t="s">
        <v>1017</v>
      </c>
      <c r="S59" s="37">
        <v>224</v>
      </c>
      <c r="T59" s="32"/>
      <c r="U59" s="32"/>
      <c r="V59" s="32"/>
      <c r="W59" s="39"/>
      <c r="X59" s="39"/>
      <c r="Y59" s="32" t="s">
        <v>1018</v>
      </c>
      <c r="Z59" s="32" t="s">
        <v>1231</v>
      </c>
      <c r="AA59" s="32" t="s">
        <v>422</v>
      </c>
      <c r="AB59" s="32" t="s">
        <v>1476</v>
      </c>
      <c r="AC59" s="32" t="s">
        <v>37</v>
      </c>
      <c r="AD59" s="32" t="s">
        <v>1018</v>
      </c>
      <c r="AE59" s="32"/>
      <c r="AF59" s="32"/>
      <c r="AG59" s="32" t="s">
        <v>1477</v>
      </c>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c r="EW59" s="9"/>
      <c r="EX59" s="9"/>
      <c r="EY59" s="9"/>
      <c r="EZ59" s="9"/>
      <c r="FA59" s="9"/>
      <c r="FB59" s="9"/>
      <c r="FC59" s="9"/>
      <c r="FD59" s="9"/>
      <c r="FE59" s="9"/>
      <c r="FF59" s="9"/>
      <c r="FG59" s="9"/>
      <c r="FH59" s="9"/>
      <c r="FI59" s="9"/>
      <c r="FJ59" s="9"/>
      <c r="FK59" s="9"/>
      <c r="FL59" s="9"/>
      <c r="FM59" s="9"/>
      <c r="FN59" s="9"/>
      <c r="FO59" s="9"/>
      <c r="FP59" s="9"/>
      <c r="FQ59" s="9"/>
      <c r="FR59" s="9"/>
      <c r="FS59" s="9"/>
      <c r="FT59" s="9"/>
      <c r="FU59" s="9"/>
      <c r="FV59" s="9"/>
      <c r="FW59" s="9"/>
      <c r="FX59" s="9"/>
      <c r="FY59" s="9"/>
      <c r="FZ59" s="9"/>
      <c r="GA59" s="9"/>
      <c r="GB59" s="9"/>
      <c r="GC59" s="9"/>
      <c r="GD59" s="9"/>
      <c r="GE59" s="9"/>
      <c r="GF59" s="9"/>
      <c r="GG59" s="9"/>
      <c r="GH59" s="9"/>
      <c r="GI59" s="9"/>
      <c r="GJ59" s="9"/>
      <c r="GK59" s="9"/>
      <c r="GL59" s="9"/>
      <c r="GM59" s="9"/>
      <c r="GN59" s="9"/>
      <c r="GO59" s="9"/>
      <c r="GP59" s="9"/>
      <c r="GQ59" s="9"/>
      <c r="GR59" s="9"/>
      <c r="GS59" s="9"/>
      <c r="GT59" s="9"/>
      <c r="GU59" s="9"/>
      <c r="GV59" s="9"/>
      <c r="GW59" s="9"/>
      <c r="GX59" s="9"/>
      <c r="GY59" s="9"/>
      <c r="GZ59" s="9"/>
      <c r="HA59" s="9"/>
      <c r="HB59" s="9"/>
      <c r="HC59" s="9"/>
      <c r="HD59" s="9"/>
      <c r="HE59" s="9"/>
      <c r="HF59" s="9"/>
      <c r="HG59" s="9"/>
      <c r="HH59" s="9"/>
      <c r="HI59" s="9"/>
      <c r="HJ59" s="9"/>
      <c r="HK59" s="9"/>
      <c r="HL59" s="9"/>
      <c r="HM59" s="9"/>
      <c r="HN59" s="9"/>
      <c r="HO59" s="9"/>
      <c r="HP59" s="9"/>
      <c r="HQ59" s="9"/>
      <c r="HR59" s="9"/>
      <c r="HS59" s="9"/>
      <c r="HT59" s="9"/>
      <c r="HU59" s="9"/>
      <c r="HV59" s="9"/>
      <c r="HW59" s="9"/>
      <c r="HX59" s="9"/>
      <c r="HY59" s="9"/>
      <c r="HZ59" s="9"/>
      <c r="IA59" s="9"/>
      <c r="IB59" s="9"/>
      <c r="IC59" s="9"/>
      <c r="ID59" s="9"/>
      <c r="IE59" s="9"/>
      <c r="IF59" s="9"/>
      <c r="IG59" s="9"/>
      <c r="IH59" s="9"/>
      <c r="II59" s="9"/>
      <c r="IJ59" s="9"/>
      <c r="IK59" s="9"/>
      <c r="IL59" s="9"/>
      <c r="IM59" s="9"/>
      <c r="IN59" s="9"/>
      <c r="IO59" s="9"/>
      <c r="IP59" s="9"/>
      <c r="IQ59" s="9"/>
      <c r="IR59" s="9"/>
      <c r="IS59" s="9"/>
      <c r="IT59" s="9"/>
      <c r="IU59" s="9"/>
      <c r="IV59" s="9"/>
      <c r="IW59" s="9"/>
      <c r="IX59" s="9"/>
      <c r="IY59" s="9"/>
      <c r="IZ59" s="9"/>
      <c r="JA59" s="9"/>
      <c r="JB59" s="9"/>
      <c r="JC59" s="9"/>
      <c r="JD59" s="9"/>
      <c r="JE59" s="9"/>
      <c r="JF59" s="9"/>
      <c r="JG59" s="9"/>
      <c r="JH59" s="9"/>
      <c r="JI59" s="9"/>
      <c r="JJ59" s="9"/>
      <c r="JK59" s="9"/>
      <c r="JL59" s="9"/>
      <c r="JM59" s="9"/>
      <c r="JN59" s="9"/>
      <c r="JO59" s="9"/>
      <c r="JP59" s="9"/>
      <c r="JQ59" s="9"/>
      <c r="JR59" s="9"/>
      <c r="JS59" s="9"/>
      <c r="JT59" s="9"/>
      <c r="JU59" s="9"/>
      <c r="JV59" s="9"/>
      <c r="JW59" s="9"/>
      <c r="JX59" s="9"/>
      <c r="JY59" s="9"/>
      <c r="JZ59" s="9"/>
      <c r="KA59" s="9"/>
      <c r="KB59" s="9"/>
      <c r="KC59" s="9"/>
      <c r="KD59" s="9"/>
      <c r="KE59" s="9"/>
      <c r="KF59" s="9"/>
      <c r="KG59" s="9"/>
      <c r="KH59" s="9"/>
      <c r="KI59" s="9"/>
      <c r="KJ59" s="9"/>
      <c r="KK59" s="9"/>
      <c r="KL59" s="9"/>
      <c r="KM59" s="9"/>
      <c r="KN59" s="9"/>
      <c r="KO59" s="9"/>
      <c r="KP59" s="9"/>
      <c r="KQ59" s="9"/>
      <c r="KR59" s="9"/>
      <c r="KS59" s="9"/>
      <c r="KT59" s="9"/>
      <c r="KU59" s="9"/>
      <c r="KV59" s="9"/>
      <c r="KW59" s="9"/>
      <c r="KX59" s="9"/>
    </row>
    <row r="60" s="12" customFormat="1" customHeight="1" spans="1:310">
      <c r="A60" s="28">
        <v>45748</v>
      </c>
      <c r="B60" s="29" t="s">
        <v>1022</v>
      </c>
      <c r="C60" s="32" t="s">
        <v>1007</v>
      </c>
      <c r="D60" s="32" t="s">
        <v>1215</v>
      </c>
      <c r="E60" s="49" t="s">
        <v>56</v>
      </c>
      <c r="F60" s="32" t="s">
        <v>56</v>
      </c>
      <c r="G60" s="49" t="s">
        <v>1478</v>
      </c>
      <c r="H60" s="32">
        <v>4</v>
      </c>
      <c r="I60" s="32">
        <v>2021</v>
      </c>
      <c r="J60" s="36">
        <v>45776</v>
      </c>
      <c r="K60" s="36">
        <v>45869</v>
      </c>
      <c r="L60" s="32">
        <v>8</v>
      </c>
      <c r="M60" s="36">
        <v>45505</v>
      </c>
      <c r="N60" s="36">
        <v>45869</v>
      </c>
      <c r="O60" s="32" t="s">
        <v>1479</v>
      </c>
      <c r="P60" s="32" t="s">
        <v>1016</v>
      </c>
      <c r="Q60" s="87"/>
      <c r="R60" s="32" t="s">
        <v>1017</v>
      </c>
      <c r="S60" s="38">
        <v>2188.6</v>
      </c>
      <c r="T60" s="37">
        <f>25/3</f>
        <v>8.33333333333333</v>
      </c>
      <c r="U60" s="32">
        <v>2024.03</v>
      </c>
      <c r="V60" s="33">
        <f>T60/S72</f>
        <v>0.00953296116652939</v>
      </c>
      <c r="W60" s="88"/>
      <c r="X60" s="88"/>
      <c r="Y60" s="32" t="s">
        <v>1018</v>
      </c>
      <c r="Z60" s="32" t="s">
        <v>1480</v>
      </c>
      <c r="AA60" s="32" t="s">
        <v>422</v>
      </c>
      <c r="AB60" s="40">
        <v>0.7</v>
      </c>
      <c r="AC60" s="32" t="s">
        <v>37</v>
      </c>
      <c r="AD60" s="32" t="s">
        <v>1016</v>
      </c>
      <c r="AE60" s="32"/>
      <c r="AF60" s="32"/>
      <c r="AG60" s="32" t="s">
        <v>1481</v>
      </c>
      <c r="AH60" s="89"/>
      <c r="AI60" s="89"/>
      <c r="AJ60" s="89"/>
      <c r="AK60" s="89"/>
      <c r="AL60" s="89"/>
      <c r="AM60" s="89"/>
      <c r="AN60" s="89"/>
      <c r="AO60" s="89"/>
      <c r="AP60" s="89"/>
      <c r="AQ60" s="89"/>
      <c r="AR60" s="89"/>
      <c r="AS60" s="89"/>
      <c r="AT60" s="89"/>
      <c r="AU60" s="89"/>
      <c r="AV60" s="89"/>
      <c r="AW60" s="89"/>
      <c r="AX60" s="89"/>
      <c r="AY60" s="89"/>
      <c r="AZ60" s="89"/>
      <c r="BA60" s="89"/>
      <c r="BB60" s="89"/>
      <c r="BC60" s="89"/>
      <c r="BD60" s="89"/>
      <c r="BE60" s="89"/>
      <c r="BF60" s="89"/>
      <c r="BG60" s="89"/>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3"/>
      <c r="CZ60" s="13"/>
      <c r="DA60" s="13"/>
      <c r="DB60" s="13"/>
      <c r="DC60" s="13"/>
      <c r="DD60" s="13"/>
      <c r="DE60" s="13"/>
      <c r="DF60" s="13"/>
      <c r="DG60" s="13"/>
      <c r="DH60" s="13"/>
      <c r="DI60" s="13"/>
      <c r="DJ60" s="13"/>
      <c r="DK60" s="13"/>
      <c r="DL60" s="13"/>
      <c r="DM60" s="13"/>
      <c r="DN60" s="13"/>
      <c r="DO60" s="13"/>
      <c r="DP60" s="13"/>
      <c r="DQ60" s="13"/>
      <c r="DR60" s="13"/>
      <c r="DS60" s="13"/>
      <c r="DT60" s="13"/>
      <c r="DU60" s="13"/>
      <c r="DV60" s="13"/>
      <c r="DW60" s="13"/>
      <c r="DX60" s="13"/>
      <c r="DY60" s="13"/>
      <c r="DZ60" s="13"/>
      <c r="EA60" s="13"/>
      <c r="EB60" s="13"/>
      <c r="EC60" s="13"/>
      <c r="ED60" s="13"/>
      <c r="EE60" s="13"/>
      <c r="EF60" s="13"/>
      <c r="EG60" s="13"/>
      <c r="EH60" s="13"/>
      <c r="EI60" s="13"/>
      <c r="EJ60" s="13"/>
      <c r="EK60" s="13"/>
      <c r="EL60" s="13"/>
      <c r="EM60" s="13"/>
      <c r="EN60" s="13"/>
      <c r="EO60" s="13"/>
      <c r="EP60" s="13"/>
      <c r="EQ60" s="13"/>
      <c r="ER60" s="13"/>
      <c r="ES60" s="13"/>
      <c r="ET60" s="13"/>
      <c r="EU60" s="13"/>
      <c r="EV60" s="13"/>
      <c r="EW60" s="13"/>
      <c r="EX60" s="13"/>
      <c r="EY60" s="13"/>
      <c r="EZ60" s="13"/>
      <c r="FA60" s="13"/>
      <c r="FB60" s="13"/>
      <c r="FC60" s="13"/>
      <c r="FD60" s="13"/>
      <c r="FE60" s="13"/>
      <c r="FF60" s="13"/>
      <c r="FG60" s="13"/>
      <c r="FH60" s="13"/>
      <c r="FI60" s="13"/>
      <c r="FJ60" s="13"/>
      <c r="FK60" s="13"/>
      <c r="FL60" s="13"/>
      <c r="FM60" s="13"/>
      <c r="FN60" s="13"/>
      <c r="FO60" s="13"/>
      <c r="FP60" s="13"/>
      <c r="FQ60" s="13"/>
      <c r="FR60" s="13"/>
      <c r="FS60" s="13"/>
      <c r="FT60" s="13"/>
      <c r="FU60" s="13"/>
      <c r="FV60" s="13"/>
      <c r="FW60" s="13"/>
      <c r="FX60" s="13"/>
      <c r="FY60" s="13"/>
      <c r="FZ60" s="13"/>
      <c r="GA60" s="13"/>
      <c r="GB60" s="13"/>
      <c r="GC60" s="13"/>
      <c r="GD60" s="13"/>
      <c r="GE60" s="13"/>
      <c r="GF60" s="13"/>
      <c r="GG60" s="13"/>
      <c r="GH60" s="13"/>
      <c r="GI60" s="13"/>
      <c r="GJ60" s="13"/>
      <c r="GK60" s="13"/>
      <c r="GL60" s="13"/>
      <c r="GM60" s="13"/>
      <c r="GN60" s="13"/>
      <c r="GO60" s="13"/>
      <c r="GP60" s="13"/>
      <c r="GQ60" s="13"/>
      <c r="GR60" s="13"/>
      <c r="GS60" s="13"/>
      <c r="GT60" s="13"/>
      <c r="GU60" s="13"/>
      <c r="GV60" s="13"/>
      <c r="GW60" s="13"/>
      <c r="GX60" s="13"/>
      <c r="GY60" s="13"/>
      <c r="GZ60" s="13"/>
      <c r="HA60" s="13"/>
      <c r="HB60" s="13"/>
      <c r="HC60" s="13"/>
      <c r="HD60" s="13"/>
      <c r="HE60" s="13"/>
      <c r="HF60" s="13"/>
      <c r="HG60" s="13"/>
      <c r="HH60" s="13"/>
      <c r="HI60" s="13"/>
      <c r="HJ60" s="13"/>
      <c r="HK60" s="13"/>
      <c r="HL60" s="13"/>
      <c r="HM60" s="13"/>
      <c r="HN60" s="13"/>
      <c r="HO60" s="13"/>
      <c r="HP60" s="13"/>
      <c r="HQ60" s="13"/>
      <c r="HR60" s="13"/>
      <c r="HS60" s="13"/>
      <c r="HT60" s="13"/>
      <c r="HU60" s="13"/>
      <c r="HV60" s="13"/>
      <c r="HW60" s="13"/>
      <c r="HX60" s="13"/>
      <c r="HY60" s="13"/>
      <c r="HZ60" s="13"/>
      <c r="IA60" s="13"/>
      <c r="IB60" s="13"/>
      <c r="IC60" s="13"/>
      <c r="ID60" s="13"/>
      <c r="IE60" s="13"/>
      <c r="IF60" s="13"/>
      <c r="IG60" s="13"/>
      <c r="IH60" s="13"/>
      <c r="II60" s="10"/>
      <c r="IJ60" s="11"/>
      <c r="IK60" s="11"/>
      <c r="IL60" s="11"/>
      <c r="IM60" s="11"/>
      <c r="IN60" s="11"/>
      <c r="IO60" s="11"/>
      <c r="IP60" s="11"/>
      <c r="IQ60" s="11"/>
      <c r="IR60" s="11"/>
      <c r="IS60" s="11"/>
      <c r="IT60" s="11"/>
      <c r="IU60" s="11"/>
      <c r="IV60" s="11"/>
      <c r="IW60" s="11"/>
      <c r="IX60" s="11"/>
      <c r="IY60" s="11"/>
      <c r="IZ60" s="11"/>
      <c r="JA60" s="11"/>
      <c r="JB60" s="11"/>
      <c r="JC60" s="11"/>
      <c r="JD60" s="11"/>
      <c r="JE60" s="11"/>
      <c r="JF60" s="11"/>
      <c r="JG60" s="11"/>
      <c r="JH60" s="11"/>
      <c r="JI60" s="11"/>
      <c r="JJ60" s="11"/>
      <c r="JK60" s="11"/>
      <c r="JL60" s="11"/>
      <c r="JM60" s="11"/>
      <c r="JN60" s="11"/>
      <c r="JO60" s="11"/>
      <c r="JP60" s="11"/>
      <c r="JQ60" s="11"/>
      <c r="JR60" s="11"/>
      <c r="JS60" s="11"/>
      <c r="JT60" s="11"/>
      <c r="JU60" s="11"/>
      <c r="JV60" s="11"/>
      <c r="JW60" s="11"/>
      <c r="JX60" s="11"/>
      <c r="JY60" s="11"/>
      <c r="JZ60" s="11"/>
      <c r="KA60" s="11"/>
      <c r="KB60" s="11"/>
      <c r="KC60" s="11"/>
      <c r="KD60" s="11"/>
      <c r="KE60" s="11"/>
      <c r="KF60" s="11"/>
      <c r="KG60" s="11"/>
      <c r="KH60" s="11"/>
      <c r="KI60" s="11"/>
      <c r="KJ60" s="11"/>
      <c r="KK60" s="11"/>
      <c r="KL60" s="11"/>
      <c r="KM60" s="11"/>
      <c r="KN60" s="11"/>
      <c r="KO60" s="11"/>
      <c r="KP60" s="11"/>
      <c r="KQ60" s="11"/>
      <c r="KR60" s="11"/>
      <c r="KS60" s="11"/>
      <c r="KT60" s="11"/>
      <c r="KU60" s="11"/>
      <c r="KV60" s="11"/>
    </row>
    <row r="61" s="9" customFormat="1" customHeight="1" spans="1:310">
      <c r="A61" s="28">
        <v>45748</v>
      </c>
      <c r="B61" s="32" t="s">
        <v>1022</v>
      </c>
      <c r="C61" s="32" t="s">
        <v>1057</v>
      </c>
      <c r="D61" s="32" t="s">
        <v>1058</v>
      </c>
      <c r="E61" s="49" t="s">
        <v>638</v>
      </c>
      <c r="F61" s="32" t="s">
        <v>660</v>
      </c>
      <c r="G61" s="32" t="s">
        <v>1482</v>
      </c>
      <c r="H61" s="32">
        <v>4</v>
      </c>
      <c r="I61" s="49">
        <v>2022</v>
      </c>
      <c r="J61" s="36">
        <v>45770</v>
      </c>
      <c r="K61" s="36">
        <v>45853</v>
      </c>
      <c r="L61" s="32">
        <v>7</v>
      </c>
      <c r="M61" s="36">
        <v>45839</v>
      </c>
      <c r="N61" s="36">
        <v>46203</v>
      </c>
      <c r="O61" s="90">
        <v>129</v>
      </c>
      <c r="P61" s="32" t="s">
        <v>1018</v>
      </c>
      <c r="Q61" s="32"/>
      <c r="R61" s="32" t="s">
        <v>1017</v>
      </c>
      <c r="S61" s="38">
        <v>528</v>
      </c>
      <c r="T61" s="32">
        <v>110</v>
      </c>
      <c r="U61" s="32">
        <v>2024.06</v>
      </c>
      <c r="V61" s="33">
        <f>T61/S61</f>
        <v>0.208333333333333</v>
      </c>
      <c r="W61" s="39">
        <f>7438/(111*129)</f>
        <v>0.51944968224038</v>
      </c>
      <c r="X61" s="39"/>
      <c r="Y61" s="32" t="s">
        <v>1018</v>
      </c>
      <c r="Z61" s="32" t="s">
        <v>1483</v>
      </c>
      <c r="AA61" s="32" t="s">
        <v>1484</v>
      </c>
      <c r="AB61" s="40" t="s">
        <v>1485</v>
      </c>
      <c r="AC61" s="32" t="s">
        <v>37</v>
      </c>
      <c r="AD61" s="32" t="s">
        <v>1018</v>
      </c>
      <c r="AE61" s="32" t="s">
        <v>134</v>
      </c>
      <c r="AF61" s="32" t="s">
        <v>1018</v>
      </c>
      <c r="AG61" s="32" t="s">
        <v>1486</v>
      </c>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c r="HC61" s="11"/>
      <c r="HD61" s="11"/>
      <c r="HE61" s="11"/>
      <c r="HF61" s="11"/>
      <c r="HG61" s="11"/>
      <c r="HH61" s="11"/>
      <c r="HI61" s="11"/>
      <c r="HJ61" s="11"/>
      <c r="HK61" s="11"/>
      <c r="HL61" s="11"/>
      <c r="HM61" s="11"/>
      <c r="HN61" s="11"/>
      <c r="HO61" s="11"/>
      <c r="HP61" s="11"/>
      <c r="HQ61" s="11"/>
      <c r="HR61" s="11"/>
      <c r="HS61" s="11"/>
      <c r="HT61" s="11"/>
      <c r="HU61" s="11"/>
      <c r="HV61" s="11"/>
      <c r="HW61" s="11"/>
      <c r="HX61" s="11"/>
      <c r="HY61" s="11"/>
      <c r="HZ61" s="11"/>
      <c r="IA61" s="11"/>
      <c r="IB61" s="11"/>
      <c r="IC61" s="11"/>
      <c r="ID61" s="11"/>
      <c r="IE61" s="11"/>
      <c r="IF61" s="11"/>
      <c r="IG61" s="11"/>
      <c r="IH61" s="11"/>
      <c r="II61" s="10"/>
      <c r="IJ61" s="11"/>
      <c r="IK61" s="11"/>
      <c r="IL61" s="11"/>
      <c r="IM61" s="11"/>
      <c r="IN61" s="11"/>
      <c r="IO61" s="11"/>
      <c r="IP61" s="11"/>
      <c r="IQ61" s="11"/>
      <c r="IR61" s="11"/>
      <c r="IS61" s="11"/>
      <c r="IT61" s="11"/>
      <c r="IU61" s="11"/>
      <c r="IV61" s="11"/>
      <c r="IW61" s="11"/>
      <c r="IX61" s="11"/>
      <c r="IY61" s="11"/>
      <c r="IZ61" s="11"/>
      <c r="JA61" s="11"/>
      <c r="JB61" s="11"/>
      <c r="JC61" s="11"/>
      <c r="JD61" s="11"/>
      <c r="JE61" s="11"/>
      <c r="JF61" s="11"/>
      <c r="JG61" s="11"/>
      <c r="JH61" s="11"/>
      <c r="JI61" s="11"/>
      <c r="JJ61" s="11"/>
      <c r="JK61" s="11"/>
      <c r="JL61" s="11"/>
      <c r="JM61" s="11"/>
      <c r="JN61" s="11"/>
      <c r="JO61" s="11"/>
      <c r="JP61" s="11"/>
      <c r="JQ61" s="11"/>
      <c r="JR61" s="11"/>
      <c r="JS61" s="11"/>
      <c r="JT61" s="11"/>
      <c r="JU61" s="11"/>
      <c r="JV61" s="11"/>
      <c r="JW61" s="11"/>
      <c r="JX61" s="11"/>
      <c r="JY61" s="11"/>
      <c r="JZ61" s="11"/>
      <c r="KA61" s="11"/>
      <c r="KB61" s="11"/>
      <c r="KC61" s="11"/>
      <c r="KD61" s="11"/>
      <c r="KE61" s="11"/>
      <c r="KF61" s="11"/>
      <c r="KG61" s="11"/>
      <c r="KH61" s="11"/>
      <c r="KI61" s="11"/>
      <c r="KJ61" s="11"/>
      <c r="KK61" s="11"/>
      <c r="KL61" s="11"/>
      <c r="KM61" s="11"/>
      <c r="KN61" s="11"/>
      <c r="KO61" s="11"/>
      <c r="KP61" s="11"/>
      <c r="KQ61" s="11"/>
      <c r="KR61" s="11"/>
      <c r="KS61" s="11"/>
      <c r="KT61" s="11"/>
      <c r="KU61" s="11"/>
      <c r="KV61" s="11"/>
      <c r="KW61" s="12"/>
      <c r="KX61" s="12"/>
    </row>
    <row r="62" s="12" customFormat="1" customHeight="1" spans="1:310">
      <c r="A62" s="28">
        <v>45748</v>
      </c>
      <c r="B62" s="29" t="s">
        <v>1022</v>
      </c>
      <c r="C62" s="29" t="s">
        <v>1032</v>
      </c>
      <c r="D62" s="29" t="s">
        <v>1042</v>
      </c>
      <c r="E62" s="29" t="s">
        <v>381</v>
      </c>
      <c r="F62" s="29" t="s">
        <v>474</v>
      </c>
      <c r="G62" s="29" t="s">
        <v>1487</v>
      </c>
      <c r="H62" s="29">
        <v>4</v>
      </c>
      <c r="I62" s="30">
        <v>2022</v>
      </c>
      <c r="J62" s="45">
        <v>45769</v>
      </c>
      <c r="K62" s="45">
        <v>45835</v>
      </c>
      <c r="L62" s="29">
        <v>7</v>
      </c>
      <c r="M62" s="45">
        <v>45839</v>
      </c>
      <c r="N62" s="45">
        <v>46203</v>
      </c>
      <c r="O62" s="29">
        <v>168</v>
      </c>
      <c r="P62" s="29" t="s">
        <v>1018</v>
      </c>
      <c r="Q62" s="29"/>
      <c r="R62" s="29" t="s">
        <v>1039</v>
      </c>
      <c r="S62" s="60">
        <v>1043.7</v>
      </c>
      <c r="T62" s="29">
        <v>86.75</v>
      </c>
      <c r="U62" s="29">
        <v>2025.7</v>
      </c>
      <c r="V62" s="46">
        <f>T62/S62</f>
        <v>0.0831177541439111</v>
      </c>
      <c r="W62" s="34">
        <v>0.5147</v>
      </c>
      <c r="X62" s="34" t="s">
        <v>1488</v>
      </c>
      <c r="Y62" s="29" t="s">
        <v>1018</v>
      </c>
      <c r="Z62" s="29" t="s">
        <v>1489</v>
      </c>
      <c r="AA62" s="29" t="s">
        <v>36</v>
      </c>
      <c r="AB62" s="35" t="s">
        <v>1490</v>
      </c>
      <c r="AC62" s="29" t="s">
        <v>37</v>
      </c>
      <c r="AD62" s="29" t="s">
        <v>1018</v>
      </c>
      <c r="AE62" s="29"/>
      <c r="AF62" s="29"/>
      <c r="AG62" s="50" t="s">
        <v>1491</v>
      </c>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c r="EO62" s="9"/>
      <c r="EP62" s="9"/>
      <c r="EQ62" s="9"/>
      <c r="ER62" s="9"/>
      <c r="ES62" s="9"/>
      <c r="ET62" s="9"/>
      <c r="EU62" s="9"/>
      <c r="EV62" s="9"/>
      <c r="EW62" s="9"/>
      <c r="EX62" s="9"/>
      <c r="EY62" s="9"/>
      <c r="EZ62" s="9"/>
      <c r="FA62" s="9"/>
      <c r="FB62" s="9"/>
      <c r="FC62" s="9"/>
      <c r="FD62" s="9"/>
      <c r="FE62" s="9"/>
      <c r="FF62" s="9"/>
      <c r="FG62" s="9"/>
      <c r="FH62" s="9"/>
      <c r="FI62" s="9"/>
      <c r="FJ62" s="9"/>
      <c r="FK62" s="9"/>
      <c r="FL62" s="9"/>
      <c r="FM62" s="9"/>
      <c r="FN62" s="9"/>
      <c r="FO62" s="9"/>
      <c r="FP62" s="9"/>
      <c r="FQ62" s="9"/>
      <c r="FR62" s="9"/>
      <c r="FS62" s="9"/>
      <c r="FT62" s="9"/>
      <c r="FU62" s="9"/>
      <c r="FV62" s="9"/>
      <c r="FW62" s="9"/>
      <c r="FX62" s="9"/>
      <c r="FY62" s="9"/>
      <c r="FZ62" s="9"/>
      <c r="GA62" s="9"/>
      <c r="GB62" s="9"/>
      <c r="GC62" s="9"/>
      <c r="GD62" s="9"/>
      <c r="GE62" s="9"/>
      <c r="GF62" s="9"/>
      <c r="GG62" s="9"/>
      <c r="GH62" s="9"/>
      <c r="GI62" s="9"/>
      <c r="GJ62" s="9"/>
      <c r="GK62" s="9"/>
      <c r="GL62" s="9"/>
      <c r="GM62" s="9"/>
      <c r="GN62" s="9"/>
      <c r="GO62" s="9"/>
      <c r="GP62" s="9"/>
      <c r="GQ62" s="9"/>
      <c r="GR62" s="9"/>
      <c r="GS62" s="9"/>
      <c r="GT62" s="9"/>
      <c r="GU62" s="9"/>
      <c r="GV62" s="9"/>
      <c r="GW62" s="9"/>
      <c r="GX62" s="9"/>
      <c r="GY62" s="9"/>
      <c r="GZ62" s="9"/>
      <c r="HA62" s="9"/>
      <c r="HB62" s="9"/>
      <c r="HC62" s="9"/>
      <c r="HD62" s="9"/>
      <c r="HE62" s="9"/>
      <c r="HF62" s="9"/>
      <c r="HG62" s="9"/>
      <c r="HH62" s="9"/>
      <c r="HI62" s="9"/>
      <c r="HJ62" s="9"/>
      <c r="HK62" s="9"/>
      <c r="HL62" s="9"/>
      <c r="HM62" s="9"/>
      <c r="HN62" s="9"/>
      <c r="HO62" s="9"/>
      <c r="HP62" s="9"/>
      <c r="HQ62" s="9"/>
      <c r="HR62" s="9"/>
      <c r="HS62" s="9"/>
      <c r="HT62" s="9"/>
      <c r="HU62" s="9"/>
      <c r="HV62" s="9"/>
      <c r="HW62" s="9"/>
      <c r="HX62" s="9"/>
      <c r="HY62" s="9"/>
      <c r="HZ62" s="9"/>
      <c r="IA62" s="9"/>
      <c r="IB62" s="9"/>
      <c r="IC62" s="9"/>
      <c r="ID62" s="9"/>
      <c r="IE62" s="9"/>
      <c r="IF62" s="9"/>
      <c r="IG62" s="9"/>
      <c r="IH62" s="9"/>
      <c r="II62" s="9"/>
      <c r="IJ62" s="9"/>
      <c r="IK62" s="9"/>
      <c r="IL62" s="9"/>
      <c r="IM62" s="9"/>
      <c r="IN62" s="9"/>
      <c r="IO62" s="9"/>
      <c r="IP62" s="9"/>
      <c r="IQ62" s="9"/>
      <c r="IR62" s="9"/>
      <c r="IS62" s="9"/>
      <c r="IT62" s="9"/>
      <c r="IU62" s="9"/>
      <c r="IV62" s="9"/>
      <c r="IW62" s="9"/>
      <c r="IX62" s="9"/>
      <c r="IY62" s="9"/>
      <c r="IZ62" s="9"/>
      <c r="JA62" s="9"/>
      <c r="JB62" s="9"/>
      <c r="JC62" s="9"/>
      <c r="JD62" s="9"/>
      <c r="JE62" s="9"/>
      <c r="JF62" s="9"/>
      <c r="JG62" s="9"/>
      <c r="JH62" s="9"/>
      <c r="JI62" s="9"/>
      <c r="JJ62" s="9"/>
      <c r="JK62" s="9"/>
      <c r="JL62" s="9"/>
      <c r="JM62" s="9"/>
      <c r="JN62" s="9"/>
      <c r="JO62" s="9"/>
      <c r="JP62" s="9"/>
      <c r="JQ62" s="9"/>
      <c r="JR62" s="9"/>
      <c r="JS62" s="9"/>
      <c r="JT62" s="9"/>
      <c r="JU62" s="9"/>
      <c r="JV62" s="9"/>
      <c r="JW62" s="9"/>
      <c r="JX62" s="9"/>
      <c r="JY62" s="9"/>
      <c r="JZ62" s="9"/>
      <c r="KA62" s="9"/>
      <c r="KB62" s="9"/>
      <c r="KC62" s="9"/>
      <c r="KD62" s="9"/>
      <c r="KE62" s="9"/>
      <c r="KF62" s="9"/>
      <c r="KG62" s="9"/>
      <c r="KH62" s="9"/>
      <c r="KI62" s="9"/>
      <c r="KJ62" s="9"/>
      <c r="KK62" s="9"/>
      <c r="KL62" s="9"/>
      <c r="KM62" s="9"/>
      <c r="KN62" s="9"/>
      <c r="KO62" s="9"/>
      <c r="KP62" s="9"/>
      <c r="KQ62" s="9"/>
      <c r="KR62" s="9"/>
      <c r="KS62" s="9"/>
      <c r="KT62" s="9"/>
      <c r="KU62" s="9"/>
      <c r="KV62" s="9"/>
      <c r="KW62" s="9"/>
      <c r="KX62" s="9"/>
    </row>
    <row r="63" s="12" customFormat="1" customHeight="1" spans="1:310">
      <c r="A63" s="28">
        <v>45748</v>
      </c>
      <c r="B63" s="32" t="s">
        <v>1022</v>
      </c>
      <c r="C63" s="49" t="s">
        <v>1032</v>
      </c>
      <c r="D63" s="49" t="s">
        <v>1042</v>
      </c>
      <c r="E63" s="49" t="s">
        <v>381</v>
      </c>
      <c r="F63" s="49" t="s">
        <v>417</v>
      </c>
      <c r="G63" s="32" t="s">
        <v>1492</v>
      </c>
      <c r="H63" s="32">
        <v>4</v>
      </c>
      <c r="I63" s="32">
        <v>2015</v>
      </c>
      <c r="J63" s="36">
        <v>45769</v>
      </c>
      <c r="K63" s="36">
        <v>45473</v>
      </c>
      <c r="L63" s="32">
        <v>7</v>
      </c>
      <c r="M63" s="36">
        <v>45839</v>
      </c>
      <c r="N63" s="36">
        <v>46203</v>
      </c>
      <c r="O63" s="32">
        <v>88</v>
      </c>
      <c r="P63" s="32" t="s">
        <v>1018</v>
      </c>
      <c r="Q63" s="32" t="s">
        <v>1018</v>
      </c>
      <c r="R63" s="32" t="s">
        <v>1039</v>
      </c>
      <c r="S63" s="32">
        <v>1756</v>
      </c>
      <c r="T63" s="32">
        <v>600</v>
      </c>
      <c r="U63" s="32" t="s">
        <v>1493</v>
      </c>
      <c r="V63" s="33" t="s">
        <v>1494</v>
      </c>
      <c r="W63" s="39"/>
      <c r="X63" s="39" t="s">
        <v>1495</v>
      </c>
      <c r="Y63" s="32" t="s">
        <v>1018</v>
      </c>
      <c r="Z63" s="32" t="s">
        <v>1496</v>
      </c>
      <c r="AA63" s="40" t="s">
        <v>1497</v>
      </c>
      <c r="AB63" s="40" t="s">
        <v>1498</v>
      </c>
      <c r="AC63" s="32" t="s">
        <v>1499</v>
      </c>
      <c r="AD63" s="32" t="s">
        <v>1018</v>
      </c>
      <c r="AE63" s="32" t="s">
        <v>134</v>
      </c>
      <c r="AF63" s="32" t="s">
        <v>1018</v>
      </c>
      <c r="AG63" s="50" t="s">
        <v>1500</v>
      </c>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c r="EY63" s="10"/>
      <c r="EZ63" s="10"/>
      <c r="FA63" s="10"/>
      <c r="FB63" s="10"/>
      <c r="FC63" s="10"/>
      <c r="FD63" s="10"/>
      <c r="FE63" s="10"/>
      <c r="FF63" s="10"/>
      <c r="FG63" s="10"/>
      <c r="FH63" s="10"/>
      <c r="FI63" s="10"/>
      <c r="FJ63" s="10"/>
      <c r="FK63" s="10"/>
      <c r="FL63" s="10"/>
      <c r="FM63" s="10"/>
      <c r="FN63" s="10"/>
      <c r="FO63" s="10"/>
      <c r="FP63" s="10"/>
      <c r="FQ63" s="10"/>
      <c r="FR63" s="10"/>
      <c r="FS63" s="10"/>
      <c r="FT63" s="10"/>
      <c r="FU63" s="10"/>
      <c r="FV63" s="10"/>
      <c r="FW63" s="10"/>
      <c r="FX63" s="10"/>
      <c r="FY63" s="10"/>
      <c r="FZ63" s="10"/>
      <c r="GA63" s="10"/>
      <c r="GB63" s="10"/>
      <c r="GC63" s="10"/>
      <c r="GD63" s="10"/>
      <c r="GE63" s="10"/>
      <c r="GF63" s="10"/>
      <c r="GG63" s="10"/>
      <c r="GH63" s="10"/>
      <c r="GI63" s="10"/>
      <c r="GJ63" s="10"/>
      <c r="GK63" s="10"/>
      <c r="GL63" s="10"/>
      <c r="GM63" s="10"/>
      <c r="GN63" s="10"/>
      <c r="GO63" s="10"/>
      <c r="GP63" s="10"/>
      <c r="GQ63" s="10"/>
      <c r="GR63" s="10"/>
      <c r="GS63" s="10"/>
      <c r="GT63" s="10"/>
      <c r="GU63" s="10"/>
      <c r="GV63" s="10"/>
      <c r="GW63" s="10"/>
      <c r="GX63" s="10"/>
      <c r="GY63" s="10"/>
      <c r="GZ63" s="10"/>
      <c r="HA63" s="10"/>
      <c r="HB63" s="10"/>
      <c r="HC63" s="10"/>
      <c r="HD63" s="10"/>
      <c r="HE63" s="10"/>
      <c r="HF63" s="10"/>
      <c r="HG63" s="10"/>
      <c r="HH63" s="10"/>
      <c r="HI63" s="10"/>
      <c r="HJ63" s="10"/>
      <c r="HK63" s="10"/>
      <c r="HL63" s="10"/>
      <c r="HM63" s="10"/>
      <c r="HN63" s="10"/>
      <c r="HO63" s="10"/>
      <c r="HP63" s="10"/>
      <c r="HQ63" s="10"/>
      <c r="HR63" s="10"/>
      <c r="HS63" s="10"/>
      <c r="HT63" s="10"/>
      <c r="HU63" s="10"/>
      <c r="HV63" s="10"/>
      <c r="HW63" s="10"/>
      <c r="HX63" s="10"/>
      <c r="HY63" s="10"/>
      <c r="HZ63" s="10"/>
      <c r="IA63" s="10"/>
      <c r="IB63" s="10"/>
      <c r="IC63" s="10"/>
      <c r="ID63" s="10"/>
      <c r="IE63" s="10"/>
      <c r="IF63" s="10"/>
      <c r="IG63" s="10"/>
      <c r="IH63" s="10"/>
      <c r="II63" s="10"/>
      <c r="IJ63" s="11"/>
      <c r="IK63" s="11"/>
      <c r="IL63" s="11"/>
      <c r="IM63" s="11"/>
      <c r="IN63" s="11"/>
      <c r="IO63" s="11"/>
      <c r="IP63" s="11"/>
      <c r="IQ63" s="11"/>
      <c r="IR63" s="11"/>
      <c r="IS63" s="11"/>
      <c r="IT63" s="11"/>
      <c r="IU63" s="11"/>
      <c r="IV63" s="11"/>
      <c r="IW63" s="11"/>
      <c r="IX63" s="11"/>
      <c r="IY63" s="11"/>
      <c r="IZ63" s="11"/>
      <c r="JA63" s="11"/>
      <c r="JB63" s="11"/>
      <c r="JC63" s="11"/>
      <c r="JD63" s="11"/>
      <c r="JE63" s="11"/>
      <c r="JF63" s="11"/>
      <c r="JG63" s="11"/>
      <c r="JH63" s="11"/>
      <c r="JI63" s="11"/>
      <c r="JJ63" s="11"/>
      <c r="JK63" s="11"/>
      <c r="JL63" s="11"/>
      <c r="JM63" s="11"/>
      <c r="JN63" s="11"/>
      <c r="JO63" s="11"/>
      <c r="JP63" s="11"/>
      <c r="JQ63" s="11"/>
      <c r="JR63" s="11"/>
      <c r="JS63" s="11"/>
      <c r="JT63" s="11"/>
      <c r="JU63" s="11"/>
      <c r="JV63" s="11"/>
      <c r="JW63" s="11"/>
      <c r="JX63" s="11"/>
      <c r="JY63" s="11"/>
      <c r="JZ63" s="11"/>
      <c r="KA63" s="11"/>
      <c r="KB63" s="11"/>
      <c r="KC63" s="11"/>
      <c r="KD63" s="11"/>
      <c r="KE63" s="11"/>
      <c r="KF63" s="11"/>
      <c r="KG63" s="11"/>
      <c r="KH63" s="11"/>
      <c r="KI63" s="11"/>
      <c r="KJ63" s="11"/>
      <c r="KK63" s="11"/>
      <c r="KL63" s="11"/>
      <c r="KM63" s="11"/>
      <c r="KN63" s="11"/>
      <c r="KO63" s="11"/>
      <c r="KP63" s="11"/>
      <c r="KQ63" s="11"/>
      <c r="KR63" s="11"/>
      <c r="KS63" s="11"/>
      <c r="KT63" s="11"/>
      <c r="KU63" s="11"/>
      <c r="KV63" s="11"/>
      <c r="KW63" s="11"/>
      <c r="KX63" s="11"/>
    </row>
    <row r="64" s="9" customFormat="1" customHeight="1" spans="1:310">
      <c r="A64" s="28">
        <v>45748</v>
      </c>
      <c r="B64" s="29" t="s">
        <v>1022</v>
      </c>
      <c r="C64" s="29" t="s">
        <v>1150</v>
      </c>
      <c r="D64" s="29" t="s">
        <v>134</v>
      </c>
      <c r="E64" s="30" t="s">
        <v>833</v>
      </c>
      <c r="F64" s="29" t="s">
        <v>844</v>
      </c>
      <c r="G64" s="29" t="s">
        <v>845</v>
      </c>
      <c r="H64" s="29">
        <v>4</v>
      </c>
      <c r="I64" s="29">
        <v>2023</v>
      </c>
      <c r="J64" s="45" t="s">
        <v>1501</v>
      </c>
      <c r="K64" s="45">
        <v>45808</v>
      </c>
      <c r="L64" s="29">
        <v>6</v>
      </c>
      <c r="M64" s="45">
        <v>45809</v>
      </c>
      <c r="N64" s="45">
        <v>46173</v>
      </c>
      <c r="O64" s="29">
        <v>99</v>
      </c>
      <c r="P64" s="29" t="s">
        <v>1018</v>
      </c>
      <c r="Q64" s="29" t="s">
        <v>1018</v>
      </c>
      <c r="R64" s="29" t="s">
        <v>1017</v>
      </c>
      <c r="S64" s="60">
        <v>352.11</v>
      </c>
      <c r="T64" s="29">
        <v>42</v>
      </c>
      <c r="U64" s="29">
        <v>2025.4</v>
      </c>
      <c r="V64" s="46">
        <f t="shared" ref="V64:V70" si="1">T64/S64</f>
        <v>0.11928090653489</v>
      </c>
      <c r="W64" s="46">
        <f>3100/(42*99)</f>
        <v>0.745550745550746</v>
      </c>
      <c r="X64" s="34" t="s">
        <v>1502</v>
      </c>
      <c r="Y64" s="29" t="s">
        <v>1018</v>
      </c>
      <c r="Z64" s="29" t="s">
        <v>1503</v>
      </c>
      <c r="AA64" s="29" t="s">
        <v>1504</v>
      </c>
      <c r="AB64" s="35" t="s">
        <v>1505</v>
      </c>
      <c r="AC64" s="29" t="s">
        <v>37</v>
      </c>
      <c r="AD64" s="29" t="s">
        <v>1018</v>
      </c>
      <c r="AE64" s="29"/>
      <c r="AF64" s="29"/>
      <c r="AG64" s="2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II64" s="21"/>
      <c r="KW64" s="10"/>
      <c r="KX64" s="10"/>
    </row>
    <row r="65" s="12" customFormat="1" customHeight="1" spans="1:310">
      <c r="A65" s="28">
        <v>45748</v>
      </c>
      <c r="B65" s="29" t="s">
        <v>1022</v>
      </c>
      <c r="C65" s="32" t="s">
        <v>1057</v>
      </c>
      <c r="D65" s="32" t="s">
        <v>134</v>
      </c>
      <c r="E65" s="32" t="s">
        <v>1225</v>
      </c>
      <c r="F65" s="32" t="s">
        <v>1506</v>
      </c>
      <c r="G65" s="32" t="s">
        <v>1507</v>
      </c>
      <c r="H65" s="32">
        <v>4</v>
      </c>
      <c r="I65" s="32">
        <v>2023</v>
      </c>
      <c r="J65" s="36" t="s">
        <v>1508</v>
      </c>
      <c r="K65" s="36" t="s">
        <v>1509</v>
      </c>
      <c r="L65" s="32">
        <v>6</v>
      </c>
      <c r="M65" s="36">
        <v>45838</v>
      </c>
      <c r="N65" s="36">
        <v>46202</v>
      </c>
      <c r="O65" s="32" t="s">
        <v>1510</v>
      </c>
      <c r="P65" s="32" t="s">
        <v>1018</v>
      </c>
      <c r="Q65" s="32" t="s">
        <v>1018</v>
      </c>
      <c r="R65" s="32" t="s">
        <v>1017</v>
      </c>
      <c r="S65" s="32">
        <v>180.88</v>
      </c>
      <c r="T65" s="32"/>
      <c r="U65" s="32"/>
      <c r="V65" s="33">
        <f t="shared" si="1"/>
        <v>0</v>
      </c>
      <c r="W65" s="39"/>
      <c r="X65" s="39"/>
      <c r="Y65" s="32" t="s">
        <v>1018</v>
      </c>
      <c r="Z65" s="32" t="s">
        <v>1511</v>
      </c>
      <c r="AA65" s="32" t="s">
        <v>1512</v>
      </c>
      <c r="AB65" s="32" t="s">
        <v>1513</v>
      </c>
      <c r="AC65" s="32" t="s">
        <v>37</v>
      </c>
      <c r="AD65" s="32" t="s">
        <v>1018</v>
      </c>
      <c r="AE65" s="32"/>
      <c r="AF65" s="32"/>
      <c r="AG65" s="32"/>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c r="HC65" s="11"/>
      <c r="HD65" s="11"/>
      <c r="HE65" s="11"/>
      <c r="HF65" s="11"/>
      <c r="HG65" s="11"/>
      <c r="HH65" s="11"/>
      <c r="HI65" s="11"/>
      <c r="HJ65" s="11"/>
      <c r="HK65" s="11"/>
      <c r="HL65" s="11"/>
      <c r="HM65" s="11"/>
      <c r="HN65" s="11"/>
      <c r="HO65" s="11"/>
      <c r="HP65" s="11"/>
      <c r="HQ65" s="11"/>
      <c r="HR65" s="11"/>
      <c r="HS65" s="11"/>
      <c r="HT65" s="11"/>
      <c r="HU65" s="11"/>
      <c r="HV65" s="11"/>
      <c r="HW65" s="11"/>
      <c r="HX65" s="11"/>
      <c r="HY65" s="11"/>
      <c r="HZ65" s="11"/>
      <c r="IA65" s="11"/>
      <c r="IB65" s="11"/>
      <c r="IC65" s="11"/>
      <c r="ID65" s="11"/>
      <c r="IE65" s="11"/>
      <c r="IF65" s="11"/>
      <c r="IG65" s="11"/>
      <c r="IH65" s="11"/>
      <c r="II65" s="11"/>
      <c r="IJ65" s="10"/>
      <c r="IK65" s="10"/>
      <c r="IL65" s="10"/>
      <c r="IM65" s="10"/>
      <c r="IN65" s="10"/>
      <c r="IO65" s="10"/>
      <c r="IP65" s="10"/>
      <c r="IQ65" s="10"/>
      <c r="IR65" s="10"/>
      <c r="IS65" s="10"/>
      <c r="IT65" s="10"/>
      <c r="IU65" s="10"/>
      <c r="IV65" s="10"/>
      <c r="IW65" s="10"/>
      <c r="IX65" s="10"/>
      <c r="IY65" s="10"/>
      <c r="IZ65" s="10"/>
      <c r="JA65" s="10"/>
      <c r="JB65" s="10"/>
      <c r="JC65" s="10"/>
      <c r="JD65" s="10"/>
      <c r="JE65" s="10"/>
      <c r="JF65" s="10"/>
      <c r="JG65" s="10"/>
      <c r="JH65" s="10"/>
      <c r="JI65" s="10"/>
      <c r="JJ65" s="10"/>
      <c r="JK65" s="10"/>
      <c r="JL65" s="10"/>
      <c r="JM65" s="10"/>
      <c r="JN65" s="10"/>
      <c r="JO65" s="10"/>
      <c r="JP65" s="10"/>
      <c r="JQ65" s="10"/>
      <c r="JR65" s="10"/>
      <c r="JS65" s="10"/>
      <c r="JT65" s="10"/>
      <c r="JU65" s="10"/>
      <c r="JV65" s="10"/>
      <c r="JW65" s="10"/>
      <c r="JX65" s="10"/>
      <c r="JY65" s="10"/>
      <c r="JZ65" s="10"/>
      <c r="KA65" s="10"/>
      <c r="KB65" s="10"/>
      <c r="KC65" s="10"/>
      <c r="KD65" s="10"/>
      <c r="KE65" s="10"/>
      <c r="KF65" s="10"/>
      <c r="KG65" s="10"/>
      <c r="KH65" s="10"/>
      <c r="KI65" s="10"/>
      <c r="KJ65" s="10"/>
      <c r="KK65" s="10"/>
      <c r="KL65" s="10"/>
      <c r="KM65" s="10"/>
      <c r="KN65" s="10"/>
      <c r="KO65" s="10"/>
      <c r="KP65" s="10"/>
      <c r="KQ65" s="10"/>
      <c r="KR65" s="10"/>
      <c r="KS65" s="10"/>
      <c r="KT65" s="10"/>
      <c r="KU65" s="10"/>
      <c r="KV65" s="10"/>
    </row>
    <row r="66" s="9" customFormat="1" customHeight="1" spans="1:310">
      <c r="A66" s="28">
        <v>45748</v>
      </c>
      <c r="B66" s="32" t="s">
        <v>1022</v>
      </c>
      <c r="C66" s="29" t="s">
        <v>1007</v>
      </c>
      <c r="D66" s="29" t="s">
        <v>1215</v>
      </c>
      <c r="E66" s="29" t="s">
        <v>1445</v>
      </c>
      <c r="F66" s="29" t="s">
        <v>1445</v>
      </c>
      <c r="G66" s="29" t="s">
        <v>1514</v>
      </c>
      <c r="H66" s="29">
        <v>4</v>
      </c>
      <c r="I66" s="29">
        <v>2022</v>
      </c>
      <c r="J66" s="45">
        <v>45756</v>
      </c>
      <c r="K66" s="45">
        <v>45818</v>
      </c>
      <c r="L66" s="29">
        <v>6</v>
      </c>
      <c r="M66" s="45">
        <v>45819</v>
      </c>
      <c r="N66" s="45">
        <v>46183</v>
      </c>
      <c r="O66" s="29" t="s">
        <v>1515</v>
      </c>
      <c r="P66" s="29" t="s">
        <v>1018</v>
      </c>
      <c r="Q66" s="29" t="s">
        <v>1016</v>
      </c>
      <c r="R66" s="29" t="s">
        <v>1017</v>
      </c>
      <c r="S66" s="51">
        <v>2400</v>
      </c>
      <c r="T66" s="29">
        <f>422/3</f>
        <v>140.666666666667</v>
      </c>
      <c r="U66" s="29" t="s">
        <v>1516</v>
      </c>
      <c r="V66" s="46">
        <f t="shared" si="1"/>
        <v>0.0586111111111111</v>
      </c>
      <c r="W66" s="34"/>
      <c r="X66" s="34" t="s">
        <v>1517</v>
      </c>
      <c r="Y66" s="29" t="s">
        <v>1018</v>
      </c>
      <c r="Z66" s="47" t="s">
        <v>1518</v>
      </c>
      <c r="AA66" s="29" t="s">
        <v>1519</v>
      </c>
      <c r="AB66" s="35" t="s">
        <v>1520</v>
      </c>
      <c r="AC66" s="29" t="s">
        <v>37</v>
      </c>
      <c r="AD66" s="29" t="s">
        <v>1016</v>
      </c>
      <c r="AE66" s="29"/>
      <c r="AF66" s="29"/>
      <c r="AG66" s="30" t="s">
        <v>1521</v>
      </c>
      <c r="KW66" s="12"/>
      <c r="KX66" s="12"/>
    </row>
    <row r="67" s="12" customFormat="1" customHeight="1" spans="1:310">
      <c r="A67" s="28">
        <v>45748</v>
      </c>
      <c r="B67" s="32" t="s">
        <v>1022</v>
      </c>
      <c r="C67" s="32" t="s">
        <v>1150</v>
      </c>
      <c r="D67" s="32" t="s">
        <v>1151</v>
      </c>
      <c r="E67" s="32" t="s">
        <v>966</v>
      </c>
      <c r="F67" s="32" t="s">
        <v>966</v>
      </c>
      <c r="G67" s="32" t="s">
        <v>1522</v>
      </c>
      <c r="H67" s="32">
        <v>4</v>
      </c>
      <c r="I67" s="32">
        <v>2021</v>
      </c>
      <c r="J67" s="36">
        <v>45769</v>
      </c>
      <c r="K67" s="36">
        <v>45473</v>
      </c>
      <c r="L67" s="32">
        <v>7</v>
      </c>
      <c r="M67" s="36">
        <v>45839</v>
      </c>
      <c r="N67" s="36">
        <v>46203</v>
      </c>
      <c r="O67" s="32">
        <v>129</v>
      </c>
      <c r="P67" s="32" t="s">
        <v>1018</v>
      </c>
      <c r="Q67" s="32" t="s">
        <v>1018</v>
      </c>
      <c r="R67" s="32" t="s">
        <v>1523</v>
      </c>
      <c r="S67" s="37">
        <v>2487.09</v>
      </c>
      <c r="T67" s="32">
        <v>600</v>
      </c>
      <c r="U67" s="36" t="s">
        <v>1524</v>
      </c>
      <c r="V67" s="33">
        <f t="shared" si="1"/>
        <v>0.24124579327648</v>
      </c>
      <c r="W67" s="39">
        <v>0.88</v>
      </c>
      <c r="X67" s="39" t="s">
        <v>1525</v>
      </c>
      <c r="Y67" s="32" t="s">
        <v>1018</v>
      </c>
      <c r="Z67" s="32" t="s">
        <v>1526</v>
      </c>
      <c r="AA67" s="32" t="s">
        <v>1527</v>
      </c>
      <c r="AB67" s="32" t="s">
        <v>1528</v>
      </c>
      <c r="AC67" s="32" t="s">
        <v>1529</v>
      </c>
      <c r="AD67" s="32" t="s">
        <v>1018</v>
      </c>
      <c r="AE67" s="32" t="s">
        <v>134</v>
      </c>
      <c r="AF67" s="32" t="s">
        <v>1018</v>
      </c>
      <c r="AG67" s="32"/>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c r="FZ67" s="10"/>
      <c r="GA67" s="10"/>
      <c r="GB67" s="10"/>
      <c r="GC67" s="10"/>
      <c r="GD67" s="10"/>
      <c r="GE67" s="10"/>
      <c r="GF67" s="10"/>
      <c r="GG67" s="10"/>
      <c r="GH67" s="10"/>
      <c r="GI67" s="10"/>
      <c r="GJ67" s="10"/>
      <c r="GK67" s="10"/>
      <c r="GL67" s="10"/>
      <c r="GM67" s="10"/>
      <c r="GN67" s="10"/>
      <c r="GO67" s="10"/>
      <c r="GP67" s="10"/>
      <c r="GQ67" s="10"/>
      <c r="GR67" s="10"/>
      <c r="GS67" s="10"/>
      <c r="GT67" s="10"/>
      <c r="GU67" s="10"/>
      <c r="GV67" s="10"/>
      <c r="GW67" s="10"/>
      <c r="GX67" s="10"/>
      <c r="GY67" s="10"/>
      <c r="GZ67" s="10"/>
      <c r="HA67" s="10"/>
      <c r="HB67" s="10"/>
      <c r="HC67" s="10"/>
      <c r="HD67" s="10"/>
      <c r="HE67" s="10"/>
      <c r="HF67" s="10"/>
      <c r="HG67" s="10"/>
      <c r="HH67" s="10"/>
      <c r="HI67" s="10"/>
      <c r="HJ67" s="10"/>
      <c r="HK67" s="10"/>
      <c r="HL67" s="10"/>
      <c r="HM67" s="10"/>
      <c r="HN67" s="10"/>
      <c r="HO67" s="10"/>
      <c r="HP67" s="10"/>
      <c r="HQ67" s="10"/>
      <c r="HR67" s="10"/>
      <c r="HS67" s="10"/>
      <c r="HT67" s="10"/>
      <c r="HU67" s="10"/>
      <c r="HV67" s="10"/>
      <c r="HW67" s="10"/>
      <c r="HX67" s="10"/>
      <c r="HY67" s="10"/>
      <c r="HZ67" s="10"/>
      <c r="IA67" s="10"/>
      <c r="IB67" s="10"/>
      <c r="IC67" s="10"/>
      <c r="ID67" s="10"/>
      <c r="IE67" s="10"/>
      <c r="IF67" s="10"/>
      <c r="IG67" s="10"/>
      <c r="IH67" s="10"/>
      <c r="II67" s="10"/>
      <c r="IJ67" s="13"/>
      <c r="IK67" s="13"/>
      <c r="IL67" s="13"/>
      <c r="IM67" s="13"/>
      <c r="IN67" s="13"/>
      <c r="IO67" s="13"/>
      <c r="IP67" s="13"/>
      <c r="IQ67" s="13"/>
      <c r="IR67" s="13"/>
      <c r="IS67" s="13"/>
      <c r="IT67" s="13"/>
      <c r="IU67" s="13"/>
      <c r="IV67" s="13"/>
      <c r="IW67" s="13"/>
      <c r="IX67" s="13"/>
      <c r="IY67" s="13"/>
      <c r="IZ67" s="13"/>
      <c r="JA67" s="13"/>
      <c r="JB67" s="13"/>
      <c r="JC67" s="13"/>
      <c r="JD67" s="13"/>
      <c r="JE67" s="13"/>
      <c r="JF67" s="13"/>
      <c r="JG67" s="13"/>
      <c r="JH67" s="13"/>
      <c r="JI67" s="13"/>
      <c r="JJ67" s="13"/>
      <c r="JK67" s="13"/>
      <c r="JL67" s="13"/>
      <c r="JM67" s="13"/>
      <c r="JN67" s="13"/>
      <c r="JO67" s="13"/>
      <c r="JP67" s="13"/>
      <c r="JQ67" s="13"/>
      <c r="JR67" s="13"/>
      <c r="JS67" s="13"/>
      <c r="JT67" s="13"/>
      <c r="JU67" s="13"/>
      <c r="JV67" s="13"/>
      <c r="JW67" s="13"/>
      <c r="JX67" s="13"/>
      <c r="JY67" s="13"/>
      <c r="JZ67" s="13"/>
      <c r="KA67" s="13"/>
      <c r="KB67" s="13"/>
      <c r="KC67" s="13"/>
      <c r="KD67" s="13"/>
      <c r="KE67" s="13"/>
      <c r="KF67" s="13"/>
      <c r="KG67" s="13"/>
      <c r="KH67" s="13"/>
      <c r="KI67" s="13"/>
      <c r="KJ67" s="13"/>
      <c r="KK67" s="13"/>
      <c r="KL67" s="13"/>
      <c r="KM67" s="13"/>
      <c r="KN67" s="13"/>
      <c r="KO67" s="13"/>
      <c r="KP67" s="13"/>
      <c r="KQ67" s="13"/>
      <c r="KR67" s="13"/>
      <c r="KS67" s="13"/>
      <c r="KT67" s="13"/>
      <c r="KU67" s="13"/>
      <c r="KV67" s="13"/>
      <c r="KW67" s="11"/>
      <c r="KX67" s="11"/>
    </row>
    <row r="68" s="19" customFormat="1" customHeight="1" spans="1:310">
      <c r="A68" s="28">
        <v>45748</v>
      </c>
      <c r="B68" s="29" t="s">
        <v>1022</v>
      </c>
      <c r="C68" s="32" t="s">
        <v>1023</v>
      </c>
      <c r="D68" s="32" t="s">
        <v>134</v>
      </c>
      <c r="E68" s="32" t="s">
        <v>561</v>
      </c>
      <c r="F68" s="32" t="s">
        <v>1530</v>
      </c>
      <c r="G68" s="32" t="s">
        <v>1531</v>
      </c>
      <c r="H68" s="32">
        <v>4</v>
      </c>
      <c r="I68" s="49">
        <v>2022</v>
      </c>
      <c r="J68" s="36">
        <v>45772</v>
      </c>
      <c r="K68" s="36">
        <v>45833</v>
      </c>
      <c r="L68" s="32">
        <v>6</v>
      </c>
      <c r="M68" s="36">
        <v>45834</v>
      </c>
      <c r="N68" s="36">
        <v>46198</v>
      </c>
      <c r="O68" s="32" t="s">
        <v>1532</v>
      </c>
      <c r="P68" s="32" t="s">
        <v>1016</v>
      </c>
      <c r="Q68" s="32"/>
      <c r="R68" s="32" t="s">
        <v>1017</v>
      </c>
      <c r="S68" s="37">
        <v>425.41</v>
      </c>
      <c r="T68" s="32">
        <v>66.11</v>
      </c>
      <c r="U68" s="32" t="s">
        <v>1533</v>
      </c>
      <c r="V68" s="33">
        <f t="shared" si="1"/>
        <v>0.15540302296608</v>
      </c>
      <c r="W68" s="39" t="s">
        <v>1062</v>
      </c>
      <c r="X68" s="39"/>
      <c r="Y68" s="32" t="s">
        <v>1534</v>
      </c>
      <c r="Z68" s="32" t="s">
        <v>1535</v>
      </c>
      <c r="AA68" s="32" t="s">
        <v>1102</v>
      </c>
      <c r="AB68" s="40">
        <v>0.6</v>
      </c>
      <c r="AC68" s="32" t="s">
        <v>1536</v>
      </c>
      <c r="AD68" s="32" t="s">
        <v>1018</v>
      </c>
      <c r="AE68" s="32"/>
      <c r="AF68" s="32"/>
      <c r="AG68" s="32" t="s">
        <v>1537</v>
      </c>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10"/>
      <c r="GF68" s="10"/>
      <c r="GG68" s="10"/>
      <c r="GH68" s="10"/>
      <c r="GI68" s="10"/>
      <c r="GJ68" s="10"/>
      <c r="GK68" s="10"/>
      <c r="GL68" s="10"/>
      <c r="GM68" s="10"/>
      <c r="GN68" s="10"/>
      <c r="GO68" s="10"/>
      <c r="GP68" s="10"/>
      <c r="GQ68" s="10"/>
      <c r="GR68" s="10"/>
      <c r="GS68" s="10"/>
      <c r="GT68" s="10"/>
      <c r="GU68" s="10"/>
      <c r="GV68" s="10"/>
      <c r="GW68" s="10"/>
      <c r="GX68" s="10"/>
      <c r="GY68" s="10"/>
      <c r="GZ68" s="10"/>
      <c r="HA68" s="10"/>
      <c r="HB68" s="10"/>
      <c r="HC68" s="10"/>
      <c r="HD68" s="10"/>
      <c r="HE68" s="10"/>
      <c r="HF68" s="10"/>
      <c r="HG68" s="10"/>
      <c r="HH68" s="10"/>
      <c r="HI68" s="10"/>
      <c r="HJ68" s="10"/>
      <c r="HK68" s="10"/>
      <c r="HL68" s="10"/>
      <c r="HM68" s="10"/>
      <c r="HN68" s="10"/>
      <c r="HO68" s="10"/>
      <c r="HP68" s="10"/>
      <c r="HQ68" s="10"/>
      <c r="HR68" s="10"/>
      <c r="HS68" s="10"/>
      <c r="HT68" s="10"/>
      <c r="HU68" s="10"/>
      <c r="HV68" s="10"/>
      <c r="HW68" s="10"/>
      <c r="HX68" s="10"/>
      <c r="HY68" s="10"/>
      <c r="HZ68" s="10"/>
      <c r="IA68" s="10"/>
      <c r="IB68" s="10"/>
      <c r="IC68" s="10"/>
      <c r="ID68" s="10"/>
      <c r="IE68" s="10"/>
      <c r="IF68" s="10"/>
      <c r="IG68" s="10"/>
      <c r="IH68" s="10"/>
      <c r="II68" s="11"/>
      <c r="IJ68" s="13"/>
      <c r="IK68" s="13"/>
      <c r="IL68" s="13"/>
      <c r="IM68" s="13"/>
      <c r="IN68" s="13"/>
      <c r="IO68" s="13"/>
      <c r="IP68" s="13"/>
      <c r="IQ68" s="13"/>
      <c r="IR68" s="13"/>
      <c r="IS68" s="13"/>
      <c r="IT68" s="13"/>
      <c r="IU68" s="13"/>
      <c r="IV68" s="13"/>
      <c r="IW68" s="13"/>
      <c r="IX68" s="13"/>
      <c r="IY68" s="13"/>
      <c r="IZ68" s="13"/>
      <c r="JA68" s="13"/>
      <c r="JB68" s="13"/>
      <c r="JC68" s="13"/>
      <c r="JD68" s="13"/>
      <c r="JE68" s="13"/>
      <c r="JF68" s="13"/>
      <c r="JG68" s="13"/>
      <c r="JH68" s="13"/>
      <c r="JI68" s="13"/>
      <c r="JJ68" s="13"/>
      <c r="JK68" s="13"/>
      <c r="JL68" s="13"/>
      <c r="JM68" s="13"/>
      <c r="JN68" s="13"/>
      <c r="JO68" s="13"/>
      <c r="JP68" s="13"/>
      <c r="JQ68" s="13"/>
      <c r="JR68" s="13"/>
      <c r="JS68" s="13"/>
      <c r="JT68" s="13"/>
      <c r="JU68" s="13"/>
      <c r="JV68" s="13"/>
      <c r="JW68" s="13"/>
      <c r="JX68" s="13"/>
      <c r="JY68" s="13"/>
      <c r="JZ68" s="13"/>
      <c r="KA68" s="13"/>
      <c r="KB68" s="13"/>
      <c r="KC68" s="13"/>
      <c r="KD68" s="13"/>
      <c r="KE68" s="13"/>
      <c r="KF68" s="13"/>
      <c r="KG68" s="13"/>
      <c r="KH68" s="13"/>
      <c r="KI68" s="13"/>
      <c r="KJ68" s="13"/>
      <c r="KK68" s="13"/>
      <c r="KL68" s="13"/>
      <c r="KM68" s="13"/>
      <c r="KN68" s="13"/>
      <c r="KO68" s="13"/>
      <c r="KP68" s="13"/>
      <c r="KQ68" s="13"/>
      <c r="KR68" s="13"/>
      <c r="KS68" s="13"/>
      <c r="KT68" s="13"/>
      <c r="KU68" s="13"/>
      <c r="KV68" s="13"/>
      <c r="KW68" s="11"/>
      <c r="KX68" s="11"/>
    </row>
    <row r="69" s="9" customFormat="1" customHeight="1" spans="1:310">
      <c r="A69" s="28">
        <v>45748</v>
      </c>
      <c r="B69" s="32" t="s">
        <v>1022</v>
      </c>
      <c r="C69" s="32" t="s">
        <v>1023</v>
      </c>
      <c r="D69" s="32" t="s">
        <v>134</v>
      </c>
      <c r="E69" s="49" t="s">
        <v>561</v>
      </c>
      <c r="F69" s="49" t="s">
        <v>1538</v>
      </c>
      <c r="G69" s="32" t="s">
        <v>1539</v>
      </c>
      <c r="H69" s="32">
        <v>4</v>
      </c>
      <c r="I69" s="32">
        <v>2021</v>
      </c>
      <c r="J69" s="36">
        <v>45769</v>
      </c>
      <c r="K69" s="36">
        <v>45473</v>
      </c>
      <c r="L69" s="32">
        <v>7</v>
      </c>
      <c r="M69" s="36">
        <v>45839</v>
      </c>
      <c r="N69" s="36">
        <v>46203</v>
      </c>
      <c r="O69" s="32" t="s">
        <v>1540</v>
      </c>
      <c r="P69" s="32" t="s">
        <v>1018</v>
      </c>
      <c r="Q69" s="32" t="s">
        <v>1018</v>
      </c>
      <c r="R69" s="32" t="s">
        <v>1017</v>
      </c>
      <c r="S69" s="37">
        <v>538.5</v>
      </c>
      <c r="T69" s="32">
        <v>38</v>
      </c>
      <c r="U69" s="32">
        <v>2025.4</v>
      </c>
      <c r="V69" s="33">
        <f t="shared" si="1"/>
        <v>0.0705663881151346</v>
      </c>
      <c r="W69" s="39">
        <f>6571/(149*87)</f>
        <v>0.506904265987811</v>
      </c>
      <c r="X69" s="39" t="s">
        <v>1541</v>
      </c>
      <c r="Y69" s="32" t="s">
        <v>1542</v>
      </c>
      <c r="Z69" s="32" t="s">
        <v>1543</v>
      </c>
      <c r="AA69" s="32" t="s">
        <v>378</v>
      </c>
      <c r="AB69" s="32" t="s">
        <v>1544</v>
      </c>
      <c r="AC69" s="32" t="s">
        <v>37</v>
      </c>
      <c r="AD69" s="32" t="s">
        <v>1018</v>
      </c>
      <c r="AE69" s="32"/>
      <c r="AF69" s="32"/>
      <c r="AG69" s="32"/>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c r="HC69" s="11"/>
      <c r="HD69" s="11"/>
      <c r="HE69" s="11"/>
      <c r="HF69" s="11"/>
      <c r="HG69" s="11"/>
      <c r="HH69" s="11"/>
      <c r="HI69" s="11"/>
      <c r="HJ69" s="11"/>
      <c r="HK69" s="11"/>
      <c r="HL69" s="11"/>
      <c r="HM69" s="11"/>
      <c r="HN69" s="11"/>
      <c r="HO69" s="11"/>
      <c r="HP69" s="11"/>
      <c r="HQ69" s="11"/>
      <c r="HR69" s="11"/>
      <c r="HS69" s="11"/>
      <c r="HT69" s="11"/>
      <c r="HU69" s="11"/>
      <c r="HV69" s="11"/>
      <c r="HW69" s="11"/>
      <c r="HX69" s="11"/>
      <c r="HY69" s="11"/>
      <c r="HZ69" s="11"/>
      <c r="IA69" s="11"/>
      <c r="IB69" s="11"/>
      <c r="IC69" s="11"/>
      <c r="ID69" s="11"/>
      <c r="IE69" s="11"/>
      <c r="IF69" s="11"/>
      <c r="IG69" s="11"/>
      <c r="IH69" s="11"/>
      <c r="II69" s="11"/>
      <c r="IJ69" s="10"/>
      <c r="IK69" s="10"/>
      <c r="IL69" s="10"/>
      <c r="IM69" s="10"/>
      <c r="IN69" s="10"/>
      <c r="IO69" s="10"/>
      <c r="IP69" s="10"/>
      <c r="IQ69" s="10"/>
      <c r="IR69" s="10"/>
      <c r="IS69" s="10"/>
      <c r="IT69" s="10"/>
      <c r="IU69" s="10"/>
      <c r="IV69" s="10"/>
      <c r="IW69" s="10"/>
      <c r="IX69" s="10"/>
      <c r="IY69" s="10"/>
      <c r="IZ69" s="10"/>
      <c r="JA69" s="10"/>
      <c r="JB69" s="10"/>
      <c r="JC69" s="10"/>
      <c r="JD69" s="10"/>
      <c r="JE69" s="10"/>
      <c r="JF69" s="10"/>
      <c r="JG69" s="10"/>
      <c r="JH69" s="10"/>
      <c r="JI69" s="10"/>
      <c r="JJ69" s="10"/>
      <c r="JK69" s="10"/>
      <c r="JL69" s="10"/>
      <c r="JM69" s="10"/>
      <c r="JN69" s="10"/>
      <c r="JO69" s="10"/>
      <c r="JP69" s="10"/>
      <c r="JQ69" s="10"/>
      <c r="JR69" s="10"/>
      <c r="JS69" s="10"/>
      <c r="JT69" s="10"/>
      <c r="JU69" s="10"/>
      <c r="JV69" s="10"/>
      <c r="JW69" s="10"/>
      <c r="JX69" s="10"/>
      <c r="JY69" s="10"/>
      <c r="JZ69" s="10"/>
      <c r="KA69" s="10"/>
      <c r="KB69" s="10"/>
      <c r="KC69" s="10"/>
      <c r="KD69" s="10"/>
      <c r="KE69" s="10"/>
      <c r="KF69" s="10"/>
      <c r="KG69" s="10"/>
      <c r="KH69" s="10"/>
      <c r="KI69" s="10"/>
      <c r="KJ69" s="10"/>
      <c r="KK69" s="10"/>
      <c r="KL69" s="10"/>
      <c r="KM69" s="10"/>
      <c r="KN69" s="10"/>
      <c r="KO69" s="10"/>
      <c r="KP69" s="10"/>
      <c r="KQ69" s="10"/>
      <c r="KR69" s="10"/>
      <c r="KS69" s="10"/>
      <c r="KT69" s="10"/>
      <c r="KU69" s="10"/>
      <c r="KV69" s="10"/>
      <c r="KW69" s="10"/>
      <c r="KX69" s="10"/>
    </row>
    <row r="70" s="9" customFormat="1" customHeight="1" spans="1:310">
      <c r="A70" s="28">
        <v>45748</v>
      </c>
      <c r="B70" s="29" t="s">
        <v>1022</v>
      </c>
      <c r="C70" s="29" t="s">
        <v>1023</v>
      </c>
      <c r="D70" s="29" t="s">
        <v>134</v>
      </c>
      <c r="E70" s="29" t="s">
        <v>561</v>
      </c>
      <c r="F70" s="29" t="s">
        <v>588</v>
      </c>
      <c r="G70" s="29" t="s">
        <v>589</v>
      </c>
      <c r="H70" s="29">
        <v>4</v>
      </c>
      <c r="I70" s="29">
        <v>2020</v>
      </c>
      <c r="J70" s="45">
        <v>45755</v>
      </c>
      <c r="K70" s="45">
        <v>45808</v>
      </c>
      <c r="L70" s="29">
        <v>5</v>
      </c>
      <c r="M70" s="45">
        <v>45778</v>
      </c>
      <c r="N70" s="45">
        <v>46142</v>
      </c>
      <c r="O70" s="29" t="s">
        <v>1459</v>
      </c>
      <c r="P70" s="29" t="s">
        <v>1016</v>
      </c>
      <c r="Q70" s="29" t="s">
        <v>1018</v>
      </c>
      <c r="R70" s="29" t="s">
        <v>1017</v>
      </c>
      <c r="S70" s="51">
        <v>560.76</v>
      </c>
      <c r="T70" s="29">
        <v>50</v>
      </c>
      <c r="U70" s="29"/>
      <c r="V70" s="46">
        <f t="shared" si="1"/>
        <v>0.0891647050431557</v>
      </c>
      <c r="W70" s="34"/>
      <c r="X70" s="34" t="s">
        <v>1545</v>
      </c>
      <c r="Y70" s="29" t="s">
        <v>1534</v>
      </c>
      <c r="Z70" s="47" t="s">
        <v>1293</v>
      </c>
      <c r="AA70" s="29" t="s">
        <v>36</v>
      </c>
      <c r="AB70" s="35">
        <v>0.2</v>
      </c>
      <c r="AC70" s="29" t="s">
        <v>37</v>
      </c>
      <c r="AD70" s="29" t="s">
        <v>1018</v>
      </c>
      <c r="AE70" s="29"/>
      <c r="AF70" s="29"/>
      <c r="AG70" s="41" t="s">
        <v>1081</v>
      </c>
      <c r="KW70" s="10"/>
      <c r="KX70" s="10"/>
    </row>
    <row r="71" s="16" customFormat="1" customHeight="1" spans="1:310">
      <c r="A71" s="28">
        <v>45748</v>
      </c>
      <c r="B71" s="29" t="s">
        <v>1022</v>
      </c>
      <c r="C71" s="29" t="s">
        <v>1023</v>
      </c>
      <c r="D71" s="29" t="s">
        <v>134</v>
      </c>
      <c r="E71" s="29" t="s">
        <v>561</v>
      </c>
      <c r="F71" s="29" t="s">
        <v>1546</v>
      </c>
      <c r="G71" s="29" t="s">
        <v>1547</v>
      </c>
      <c r="H71" s="29">
        <v>4</v>
      </c>
      <c r="I71" s="29">
        <v>2023</v>
      </c>
      <c r="J71" s="45">
        <v>45762</v>
      </c>
      <c r="K71" s="45">
        <v>45808</v>
      </c>
      <c r="L71" s="29">
        <v>6</v>
      </c>
      <c r="M71" s="45">
        <v>45809</v>
      </c>
      <c r="N71" s="45">
        <v>46173</v>
      </c>
      <c r="O71" s="29" t="s">
        <v>1459</v>
      </c>
      <c r="P71" s="29" t="s">
        <v>1016</v>
      </c>
      <c r="Q71" s="29" t="s">
        <v>1018</v>
      </c>
      <c r="R71" s="29" t="s">
        <v>1017</v>
      </c>
      <c r="S71" s="51">
        <v>105.83</v>
      </c>
      <c r="T71" s="29">
        <f>35/2</f>
        <v>17.5</v>
      </c>
      <c r="U71" s="29">
        <v>2024.04</v>
      </c>
      <c r="V71" s="46">
        <v>0.059</v>
      </c>
      <c r="W71" s="34">
        <f>814/(35*79)</f>
        <v>0.294394213381555</v>
      </c>
      <c r="X71" s="34" t="s">
        <v>1548</v>
      </c>
      <c r="Y71" s="29" t="s">
        <v>1018</v>
      </c>
      <c r="Z71" s="47" t="s">
        <v>1549</v>
      </c>
      <c r="AA71" s="29" t="s">
        <v>1550</v>
      </c>
      <c r="AB71" s="35" t="s">
        <v>1551</v>
      </c>
      <c r="AC71" s="29" t="s">
        <v>37</v>
      </c>
      <c r="AD71" s="29" t="s">
        <v>1018</v>
      </c>
      <c r="AE71" s="29"/>
      <c r="AF71" s="29"/>
      <c r="AG71" s="30" t="s">
        <v>1552</v>
      </c>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c r="EG71" s="9"/>
      <c r="EH71" s="9"/>
      <c r="EI71" s="9"/>
      <c r="EJ71" s="9"/>
      <c r="EK71" s="9"/>
      <c r="EL71" s="9"/>
      <c r="EM71" s="9"/>
      <c r="EN71" s="9"/>
      <c r="EO71" s="9"/>
      <c r="EP71" s="9"/>
      <c r="EQ71" s="9"/>
      <c r="ER71" s="9"/>
      <c r="ES71" s="9"/>
      <c r="ET71" s="9"/>
      <c r="EU71" s="9"/>
      <c r="EV71" s="9"/>
      <c r="EW71" s="9"/>
      <c r="EX71" s="9"/>
      <c r="EY71" s="9"/>
      <c r="EZ71" s="9"/>
      <c r="FA71" s="9"/>
      <c r="FB71" s="9"/>
      <c r="FC71" s="9"/>
      <c r="FD71" s="9"/>
      <c r="FE71" s="9"/>
      <c r="FF71" s="9"/>
      <c r="FG71" s="9"/>
      <c r="FH71" s="9"/>
      <c r="FI71" s="9"/>
      <c r="FJ71" s="9"/>
      <c r="FK71" s="9"/>
      <c r="FL71" s="9"/>
      <c r="FM71" s="9"/>
      <c r="FN71" s="9"/>
      <c r="FO71" s="9"/>
      <c r="FP71" s="9"/>
      <c r="FQ71" s="9"/>
      <c r="FR71" s="9"/>
      <c r="FS71" s="9"/>
      <c r="FT71" s="9"/>
      <c r="FU71" s="9"/>
      <c r="FV71" s="9"/>
      <c r="FW71" s="9"/>
      <c r="FX71" s="9"/>
      <c r="FY71" s="9"/>
      <c r="FZ71" s="9"/>
      <c r="GA71" s="9"/>
      <c r="GB71" s="9"/>
      <c r="GC71" s="9"/>
      <c r="GD71" s="9"/>
      <c r="GE71" s="9"/>
      <c r="GF71" s="9"/>
      <c r="GG71" s="9"/>
      <c r="GH71" s="9"/>
      <c r="GI71" s="9"/>
      <c r="GJ71" s="9"/>
      <c r="GK71" s="9"/>
      <c r="GL71" s="9"/>
      <c r="GM71" s="9"/>
      <c r="GN71" s="9"/>
      <c r="GO71" s="9"/>
      <c r="GP71" s="9"/>
      <c r="GQ71" s="9"/>
      <c r="GR71" s="9"/>
      <c r="GS71" s="9"/>
      <c r="GT71" s="9"/>
      <c r="GU71" s="9"/>
      <c r="GV71" s="9"/>
      <c r="GW71" s="9"/>
      <c r="GX71" s="9"/>
      <c r="GY71" s="9"/>
      <c r="GZ71" s="9"/>
      <c r="HA71" s="9"/>
      <c r="HB71" s="9"/>
      <c r="HC71" s="9"/>
      <c r="HD71" s="9"/>
      <c r="HE71" s="9"/>
      <c r="HF71" s="9"/>
      <c r="HG71" s="9"/>
      <c r="HH71" s="9"/>
      <c r="HI71" s="9"/>
      <c r="HJ71" s="9"/>
      <c r="HK71" s="9"/>
      <c r="HL71" s="9"/>
      <c r="HM71" s="9"/>
      <c r="HN71" s="9"/>
      <c r="HO71" s="9"/>
      <c r="HP71" s="9"/>
      <c r="HQ71" s="9"/>
      <c r="HR71" s="9"/>
      <c r="HS71" s="9"/>
      <c r="HT71" s="9"/>
      <c r="HU71" s="9"/>
      <c r="HV71" s="9"/>
      <c r="HW71" s="9"/>
      <c r="HX71" s="9"/>
      <c r="HY71" s="9"/>
      <c r="HZ71" s="9"/>
      <c r="IA71" s="9"/>
      <c r="IB71" s="9"/>
      <c r="IC71" s="9"/>
      <c r="ID71" s="9"/>
      <c r="IE71" s="9"/>
      <c r="IF71" s="9"/>
      <c r="IG71" s="9"/>
      <c r="IH71" s="9"/>
      <c r="II71" s="9"/>
      <c r="IJ71" s="9"/>
      <c r="IK71" s="9"/>
      <c r="IL71" s="9"/>
      <c r="IM71" s="9"/>
      <c r="IN71" s="9"/>
      <c r="IO71" s="9"/>
      <c r="IP71" s="9"/>
      <c r="IQ71" s="9"/>
      <c r="IR71" s="9"/>
      <c r="IS71" s="9"/>
      <c r="IT71" s="9"/>
      <c r="IU71" s="9"/>
      <c r="IV71" s="9"/>
      <c r="IW71" s="9"/>
      <c r="IX71" s="9"/>
      <c r="IY71" s="9"/>
      <c r="IZ71" s="9"/>
      <c r="JA71" s="9"/>
      <c r="JB71" s="9"/>
      <c r="JC71" s="9"/>
      <c r="JD71" s="9"/>
      <c r="JE71" s="9"/>
      <c r="JF71" s="9"/>
      <c r="JG71" s="9"/>
      <c r="JH71" s="9"/>
      <c r="JI71" s="9"/>
      <c r="JJ71" s="9"/>
      <c r="JK71" s="9"/>
      <c r="JL71" s="9"/>
      <c r="JM71" s="9"/>
      <c r="JN71" s="9"/>
      <c r="JO71" s="9"/>
      <c r="JP71" s="9"/>
      <c r="JQ71" s="9"/>
      <c r="JR71" s="9"/>
      <c r="JS71" s="9"/>
      <c r="JT71" s="9"/>
      <c r="JU71" s="9"/>
      <c r="JV71" s="9"/>
      <c r="JW71" s="9"/>
      <c r="JX71" s="9"/>
      <c r="JY71" s="9"/>
      <c r="JZ71" s="9"/>
      <c r="KA71" s="9"/>
      <c r="KB71" s="9"/>
      <c r="KC71" s="9"/>
      <c r="KD71" s="9"/>
      <c r="KE71" s="9"/>
      <c r="KF71" s="9"/>
      <c r="KG71" s="9"/>
      <c r="KH71" s="9"/>
      <c r="KI71" s="9"/>
      <c r="KJ71" s="9"/>
      <c r="KK71" s="9"/>
      <c r="KL71" s="9"/>
      <c r="KM71" s="9"/>
      <c r="KN71" s="9"/>
      <c r="KO71" s="9"/>
      <c r="KP71" s="9"/>
      <c r="KQ71" s="9"/>
      <c r="KR71" s="9"/>
      <c r="KS71" s="9"/>
      <c r="KT71" s="9"/>
      <c r="KU71" s="9"/>
      <c r="KV71" s="9"/>
      <c r="KW71" s="11"/>
      <c r="KX71" s="11"/>
    </row>
    <row r="72" s="10" customFormat="1" customHeight="1" spans="1:310">
      <c r="A72" s="28">
        <v>45778</v>
      </c>
      <c r="B72" s="29" t="s">
        <v>1022</v>
      </c>
      <c r="C72" s="29" t="s">
        <v>1032</v>
      </c>
      <c r="D72" s="29" t="s">
        <v>1042</v>
      </c>
      <c r="E72" s="30" t="s">
        <v>903</v>
      </c>
      <c r="F72" s="29" t="s">
        <v>1553</v>
      </c>
      <c r="G72" s="29" t="s">
        <v>1554</v>
      </c>
      <c r="H72" s="29">
        <v>5</v>
      </c>
      <c r="I72" s="30">
        <v>2022</v>
      </c>
      <c r="J72" s="45">
        <v>45785</v>
      </c>
      <c r="K72" s="45">
        <v>45838</v>
      </c>
      <c r="L72" s="29">
        <v>6</v>
      </c>
      <c r="M72" s="45">
        <v>45811</v>
      </c>
      <c r="N72" s="45">
        <v>46175</v>
      </c>
      <c r="O72" s="29" t="s">
        <v>1555</v>
      </c>
      <c r="P72" s="29" t="s">
        <v>1016</v>
      </c>
      <c r="Q72" s="29" t="s">
        <v>1018</v>
      </c>
      <c r="R72" s="29" t="s">
        <v>1017</v>
      </c>
      <c r="S72" s="29">
        <v>874.16</v>
      </c>
      <c r="T72" s="29">
        <v>91.67</v>
      </c>
      <c r="U72" s="29">
        <v>25.4</v>
      </c>
      <c r="V72" s="46">
        <f>T72/S72</f>
        <v>0.10486638601629</v>
      </c>
      <c r="W72" s="34">
        <f>17000/(79*275)</f>
        <v>0.782508630609896</v>
      </c>
      <c r="X72" s="34" t="s">
        <v>1556</v>
      </c>
      <c r="Y72" s="29" t="s">
        <v>1557</v>
      </c>
      <c r="Z72" s="29" t="s">
        <v>1558</v>
      </c>
      <c r="AA72" s="29" t="s">
        <v>237</v>
      </c>
      <c r="AB72" s="29" t="s">
        <v>1559</v>
      </c>
      <c r="AC72" s="29" t="s">
        <v>37</v>
      </c>
      <c r="AD72" s="29" t="s">
        <v>1018</v>
      </c>
      <c r="AE72" s="32" t="s">
        <v>134</v>
      </c>
      <c r="AF72" s="32" t="s">
        <v>1018</v>
      </c>
      <c r="AG72" s="29" t="s">
        <v>1560</v>
      </c>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c r="EG72" s="9"/>
      <c r="EH72" s="9"/>
      <c r="EI72" s="9"/>
      <c r="EJ72" s="9"/>
      <c r="EK72" s="9"/>
      <c r="EL72" s="9"/>
      <c r="EM72" s="9"/>
      <c r="EN72" s="9"/>
      <c r="EO72" s="9"/>
      <c r="EP72" s="9"/>
      <c r="EQ72" s="9"/>
      <c r="ER72" s="9"/>
      <c r="ES72" s="9"/>
      <c r="ET72" s="9"/>
      <c r="EU72" s="9"/>
      <c r="EV72" s="9"/>
      <c r="EW72" s="9"/>
      <c r="EX72" s="9"/>
      <c r="EY72" s="9"/>
      <c r="EZ72" s="9"/>
      <c r="FA72" s="9"/>
      <c r="FB72" s="9"/>
      <c r="FC72" s="9"/>
      <c r="FD72" s="9"/>
      <c r="FE72" s="9"/>
      <c r="FF72" s="9"/>
      <c r="FG72" s="9"/>
      <c r="FH72" s="9"/>
      <c r="FI72" s="9"/>
      <c r="FJ72" s="9"/>
      <c r="FK72" s="9"/>
      <c r="FL72" s="9"/>
      <c r="FM72" s="9"/>
      <c r="FN72" s="9"/>
      <c r="FO72" s="9"/>
      <c r="FP72" s="9"/>
      <c r="FQ72" s="9"/>
      <c r="FR72" s="9"/>
      <c r="FS72" s="9"/>
      <c r="FT72" s="9"/>
      <c r="FU72" s="9"/>
      <c r="FV72" s="9"/>
      <c r="FW72" s="9"/>
      <c r="FX72" s="9"/>
      <c r="FY72" s="9"/>
      <c r="FZ72" s="9"/>
      <c r="GA72" s="9"/>
      <c r="GB72" s="9"/>
      <c r="GC72" s="9"/>
      <c r="GD72" s="9"/>
      <c r="GE72" s="9"/>
      <c r="GF72" s="9"/>
      <c r="GG72" s="9"/>
      <c r="GH72" s="9"/>
      <c r="GI72" s="9"/>
      <c r="GJ72" s="9"/>
      <c r="GK72" s="9"/>
      <c r="GL72" s="9"/>
      <c r="GM72" s="9"/>
      <c r="GN72" s="9"/>
      <c r="GO72" s="9"/>
      <c r="GP72" s="9"/>
      <c r="GQ72" s="9"/>
      <c r="GR72" s="9"/>
      <c r="GS72" s="9"/>
      <c r="GT72" s="9"/>
      <c r="GU72" s="9"/>
      <c r="GV72" s="9"/>
      <c r="GW72" s="9"/>
      <c r="GX72" s="9"/>
      <c r="GY72" s="9"/>
      <c r="GZ72" s="9"/>
      <c r="HA72" s="9"/>
      <c r="HB72" s="9"/>
      <c r="HC72" s="9"/>
      <c r="HD72" s="9"/>
      <c r="HE72" s="9"/>
      <c r="HF72" s="9"/>
      <c r="HG72" s="9"/>
      <c r="HH72" s="9"/>
      <c r="HI72" s="9"/>
      <c r="HJ72" s="9"/>
      <c r="HK72" s="9"/>
      <c r="HL72" s="9"/>
      <c r="HM72" s="9"/>
      <c r="HN72" s="9"/>
      <c r="HO72" s="9"/>
      <c r="HP72" s="9"/>
      <c r="HQ72" s="9"/>
      <c r="HR72" s="9"/>
      <c r="HS72" s="9"/>
      <c r="HT72" s="9"/>
      <c r="HU72" s="9"/>
      <c r="HV72" s="9"/>
      <c r="HW72" s="9"/>
      <c r="HX72" s="9"/>
      <c r="HY72" s="9"/>
      <c r="HZ72" s="9"/>
      <c r="IA72" s="9"/>
      <c r="IB72" s="9"/>
      <c r="IC72" s="9"/>
      <c r="ID72" s="9"/>
      <c r="IE72" s="9"/>
      <c r="IF72" s="9"/>
      <c r="IG72" s="9"/>
      <c r="IH72" s="9"/>
      <c r="II72" s="9"/>
      <c r="IJ72" s="12"/>
      <c r="IK72" s="12"/>
      <c r="IL72" s="12"/>
      <c r="IM72" s="12"/>
      <c r="IN72" s="12"/>
      <c r="IO72" s="12"/>
      <c r="IP72" s="12"/>
      <c r="IQ72" s="12"/>
      <c r="IR72" s="12"/>
      <c r="IS72" s="12"/>
      <c r="IT72" s="12"/>
      <c r="IU72" s="12"/>
      <c r="IV72" s="12"/>
      <c r="IW72" s="12"/>
      <c r="IX72" s="12"/>
      <c r="IY72" s="12"/>
      <c r="IZ72" s="12"/>
      <c r="JA72" s="12"/>
      <c r="JB72" s="12"/>
      <c r="JC72" s="12"/>
      <c r="JD72" s="12"/>
      <c r="JE72" s="12"/>
      <c r="JF72" s="12"/>
      <c r="JG72" s="12"/>
      <c r="JH72" s="12"/>
      <c r="JI72" s="12"/>
      <c r="JJ72" s="12"/>
      <c r="JK72" s="12"/>
      <c r="JL72" s="12"/>
      <c r="JM72" s="12"/>
      <c r="JN72" s="12"/>
      <c r="JO72" s="12"/>
      <c r="JP72" s="12"/>
      <c r="JQ72" s="12"/>
      <c r="JR72" s="12"/>
      <c r="JS72" s="12"/>
      <c r="JT72" s="12"/>
      <c r="JU72" s="12"/>
      <c r="JV72" s="12"/>
      <c r="JW72" s="12"/>
      <c r="JX72" s="12"/>
      <c r="JY72" s="12"/>
      <c r="JZ72" s="12"/>
      <c r="KA72" s="12"/>
      <c r="KB72" s="12"/>
      <c r="KC72" s="12"/>
      <c r="KD72" s="12"/>
      <c r="KE72" s="12"/>
      <c r="KF72" s="12"/>
      <c r="KG72" s="12"/>
      <c r="KH72" s="12"/>
      <c r="KI72" s="12"/>
      <c r="KJ72" s="12"/>
      <c r="KK72" s="12"/>
      <c r="KL72" s="12"/>
      <c r="KM72" s="12"/>
      <c r="KN72" s="12"/>
      <c r="KO72" s="12"/>
      <c r="KP72" s="12"/>
      <c r="KQ72" s="12"/>
      <c r="KR72" s="12"/>
      <c r="KS72" s="12"/>
      <c r="KT72" s="12"/>
      <c r="KU72" s="12"/>
      <c r="KV72" s="12"/>
    </row>
    <row r="73" s="9" customFormat="1" customHeight="1" spans="1:310">
      <c r="A73" s="28">
        <v>45778</v>
      </c>
      <c r="B73" s="29" t="s">
        <v>1022</v>
      </c>
      <c r="C73" s="30" t="s">
        <v>1057</v>
      </c>
      <c r="D73" s="30" t="s">
        <v>1058</v>
      </c>
      <c r="E73" s="30" t="s">
        <v>869</v>
      </c>
      <c r="F73" s="30" t="s">
        <v>1168</v>
      </c>
      <c r="G73" s="30" t="s">
        <v>1561</v>
      </c>
      <c r="H73" s="29">
        <v>5</v>
      </c>
      <c r="I73" s="29">
        <v>2024</v>
      </c>
      <c r="J73" s="45">
        <v>45797</v>
      </c>
      <c r="K73" s="45">
        <v>45869</v>
      </c>
      <c r="L73" s="30">
        <v>8</v>
      </c>
      <c r="M73" s="45">
        <v>45870</v>
      </c>
      <c r="N73" s="45">
        <v>46234</v>
      </c>
      <c r="O73" s="29">
        <v>126</v>
      </c>
      <c r="P73" s="29" t="s">
        <v>1016</v>
      </c>
      <c r="Q73" s="29" t="s">
        <v>1018</v>
      </c>
      <c r="R73" s="29" t="s">
        <v>1017</v>
      </c>
      <c r="S73" s="30">
        <v>1377.4</v>
      </c>
      <c r="T73" s="29" t="s">
        <v>1062</v>
      </c>
      <c r="U73" s="29">
        <v>2024.05</v>
      </c>
      <c r="V73" s="46" t="s">
        <v>1062</v>
      </c>
      <c r="W73" s="29" t="s">
        <v>1062</v>
      </c>
      <c r="X73" s="29"/>
      <c r="Y73" s="30" t="s">
        <v>1018</v>
      </c>
      <c r="Z73" s="30" t="s">
        <v>1562</v>
      </c>
      <c r="AA73" s="47" t="s">
        <v>378</v>
      </c>
      <c r="AB73" s="48" t="s">
        <v>1563</v>
      </c>
      <c r="AC73" s="47" t="s">
        <v>65</v>
      </c>
      <c r="AD73" s="30" t="s">
        <v>1018</v>
      </c>
      <c r="AE73" s="32" t="s">
        <v>134</v>
      </c>
      <c r="AF73" s="32" t="s">
        <v>1018</v>
      </c>
      <c r="AG73" s="47" t="s">
        <v>1046</v>
      </c>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c r="GS73" s="12"/>
      <c r="GT73" s="12"/>
      <c r="GU73" s="12"/>
      <c r="GV73" s="12"/>
      <c r="GW73" s="12"/>
      <c r="GX73" s="12"/>
      <c r="GY73" s="12"/>
      <c r="GZ73" s="12"/>
      <c r="HA73" s="12"/>
      <c r="HB73" s="12"/>
      <c r="HC73" s="12"/>
      <c r="HD73" s="12"/>
      <c r="HE73" s="12"/>
      <c r="HF73" s="12"/>
      <c r="HG73" s="12"/>
      <c r="HH73" s="12"/>
      <c r="HI73" s="12"/>
      <c r="HJ73" s="12"/>
      <c r="HK73" s="12"/>
      <c r="HL73" s="12"/>
      <c r="HM73" s="12"/>
      <c r="HN73" s="12"/>
      <c r="HO73" s="12"/>
      <c r="HP73" s="12"/>
      <c r="HQ73" s="12"/>
      <c r="HR73" s="12"/>
      <c r="HS73" s="12"/>
      <c r="HT73" s="12"/>
      <c r="HU73" s="12"/>
      <c r="HV73" s="12"/>
      <c r="HW73" s="12"/>
      <c r="HX73" s="12"/>
      <c r="HY73" s="12"/>
      <c r="HZ73" s="12"/>
      <c r="IA73" s="12"/>
      <c r="IB73" s="12"/>
      <c r="IC73" s="12"/>
      <c r="ID73" s="12"/>
      <c r="IE73" s="12"/>
      <c r="IF73" s="12"/>
      <c r="IG73" s="12"/>
      <c r="IH73" s="12"/>
      <c r="II73" s="12"/>
      <c r="IJ73" s="12"/>
      <c r="IK73" s="12"/>
      <c r="IL73" s="12"/>
      <c r="IM73" s="12"/>
      <c r="IN73" s="12"/>
      <c r="IO73" s="12"/>
      <c r="IP73" s="12"/>
      <c r="IQ73" s="12"/>
      <c r="IR73" s="12"/>
      <c r="IS73" s="12"/>
      <c r="IT73" s="12"/>
      <c r="IU73" s="12"/>
      <c r="IV73" s="12"/>
      <c r="IW73" s="12"/>
      <c r="IX73" s="12"/>
      <c r="IY73" s="12"/>
      <c r="IZ73" s="12"/>
      <c r="JA73" s="12"/>
      <c r="JB73" s="12"/>
      <c r="JC73" s="12"/>
      <c r="JD73" s="12"/>
      <c r="JE73" s="12"/>
      <c r="JF73" s="12"/>
      <c r="JG73" s="12"/>
      <c r="JH73" s="12"/>
      <c r="JI73" s="12"/>
      <c r="JJ73" s="12"/>
      <c r="JK73" s="12"/>
      <c r="JL73" s="12"/>
      <c r="JM73" s="12"/>
      <c r="JN73" s="12"/>
      <c r="JO73" s="12"/>
      <c r="JP73" s="12"/>
      <c r="JQ73" s="12"/>
      <c r="JR73" s="12"/>
      <c r="JS73" s="12"/>
      <c r="JT73" s="12"/>
      <c r="JU73" s="12"/>
      <c r="JV73" s="12"/>
      <c r="JW73" s="12"/>
      <c r="JX73" s="12"/>
      <c r="JY73" s="12"/>
      <c r="JZ73" s="12"/>
      <c r="KA73" s="12"/>
      <c r="KB73" s="12"/>
      <c r="KC73" s="12"/>
      <c r="KD73" s="12"/>
      <c r="KE73" s="12"/>
      <c r="KF73" s="12"/>
      <c r="KG73" s="12"/>
      <c r="KH73" s="12"/>
      <c r="KI73" s="12"/>
      <c r="KJ73" s="12"/>
      <c r="KK73" s="12"/>
      <c r="KL73" s="12"/>
      <c r="KM73" s="12"/>
      <c r="KN73" s="12"/>
      <c r="KO73" s="12"/>
      <c r="KP73" s="12"/>
      <c r="KQ73" s="12"/>
      <c r="KR73" s="12"/>
      <c r="KS73" s="12"/>
      <c r="KT73" s="12"/>
      <c r="KU73" s="12"/>
      <c r="KV73" s="12"/>
      <c r="KW73" s="12"/>
      <c r="KX73" s="12"/>
    </row>
    <row r="74" s="9" customFormat="1" customHeight="1" spans="1:310">
      <c r="A74" s="28">
        <v>45778</v>
      </c>
      <c r="B74" s="29" t="s">
        <v>1022</v>
      </c>
      <c r="C74" s="30" t="s">
        <v>1057</v>
      </c>
      <c r="D74" s="30" t="s">
        <v>134</v>
      </c>
      <c r="E74" s="30" t="s">
        <v>869</v>
      </c>
      <c r="F74" s="30" t="s">
        <v>1564</v>
      </c>
      <c r="G74" s="30" t="s">
        <v>1565</v>
      </c>
      <c r="H74" s="29">
        <v>5</v>
      </c>
      <c r="I74" s="29">
        <v>2024</v>
      </c>
      <c r="J74" s="45">
        <v>45790</v>
      </c>
      <c r="K74" s="45">
        <v>45838</v>
      </c>
      <c r="L74" s="30">
        <v>7</v>
      </c>
      <c r="M74" s="45">
        <v>45839</v>
      </c>
      <c r="N74" s="45">
        <v>45838</v>
      </c>
      <c r="O74" s="29">
        <v>99</v>
      </c>
      <c r="P74" s="29" t="s">
        <v>1018</v>
      </c>
      <c r="Q74" s="29"/>
      <c r="R74" s="29" t="s">
        <v>1017</v>
      </c>
      <c r="S74" s="30">
        <v>345.61</v>
      </c>
      <c r="T74" s="29">
        <v>10</v>
      </c>
      <c r="U74" s="29">
        <v>2024.07</v>
      </c>
      <c r="V74" s="46">
        <f>T74/S74</f>
        <v>0.0289343479644686</v>
      </c>
      <c r="W74" s="29"/>
      <c r="X74" s="29"/>
      <c r="Y74" s="30" t="s">
        <v>1018</v>
      </c>
      <c r="Z74" s="30" t="s">
        <v>1566</v>
      </c>
      <c r="AA74" s="47" t="s">
        <v>237</v>
      </c>
      <c r="AB74" s="48" t="s">
        <v>1567</v>
      </c>
      <c r="AC74" s="47" t="s">
        <v>367</v>
      </c>
      <c r="AD74" s="30" t="s">
        <v>1018</v>
      </c>
      <c r="AE74" s="30"/>
      <c r="AF74" s="30"/>
      <c r="AG74" s="47"/>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c r="GS74" s="12"/>
      <c r="GT74" s="12"/>
      <c r="GU74" s="12"/>
      <c r="GV74" s="12"/>
      <c r="GW74" s="12"/>
      <c r="GX74" s="12"/>
      <c r="GY74" s="12"/>
      <c r="GZ74" s="12"/>
      <c r="HA74" s="12"/>
      <c r="HB74" s="12"/>
      <c r="HC74" s="12"/>
      <c r="HD74" s="12"/>
      <c r="HE74" s="12"/>
      <c r="HF74" s="12"/>
      <c r="HG74" s="12"/>
      <c r="HH74" s="12"/>
      <c r="HI74" s="12"/>
      <c r="HJ74" s="12"/>
      <c r="HK74" s="12"/>
      <c r="HL74" s="12"/>
      <c r="HM74" s="12"/>
      <c r="HN74" s="12"/>
      <c r="HO74" s="12"/>
      <c r="HP74" s="12"/>
      <c r="HQ74" s="12"/>
      <c r="HR74" s="12"/>
      <c r="HS74" s="12"/>
      <c r="HT74" s="12"/>
      <c r="HU74" s="12"/>
      <c r="HV74" s="12"/>
      <c r="HW74" s="12"/>
      <c r="HX74" s="12"/>
      <c r="HY74" s="12"/>
      <c r="HZ74" s="12"/>
      <c r="IA74" s="12"/>
      <c r="IB74" s="12"/>
      <c r="IC74" s="12"/>
      <c r="ID74" s="12"/>
      <c r="IE74" s="12"/>
      <c r="IF74" s="12"/>
      <c r="IG74" s="12"/>
      <c r="IH74" s="12"/>
      <c r="II74" s="12"/>
      <c r="IJ74" s="12"/>
      <c r="IK74" s="12"/>
      <c r="IL74" s="12"/>
      <c r="IM74" s="12"/>
      <c r="IN74" s="12"/>
      <c r="IO74" s="12"/>
      <c r="IP74" s="12"/>
      <c r="IQ74" s="12"/>
      <c r="IR74" s="12"/>
      <c r="IS74" s="12"/>
      <c r="IT74" s="12"/>
      <c r="IU74" s="12"/>
      <c r="IV74" s="12"/>
      <c r="IW74" s="12"/>
      <c r="IX74" s="12"/>
      <c r="IY74" s="12"/>
      <c r="IZ74" s="12"/>
      <c r="JA74" s="12"/>
      <c r="JB74" s="12"/>
      <c r="JC74" s="12"/>
      <c r="JD74" s="12"/>
      <c r="JE74" s="12"/>
      <c r="JF74" s="12"/>
      <c r="JG74" s="12"/>
      <c r="JH74" s="12"/>
      <c r="JI74" s="12"/>
      <c r="JJ74" s="12"/>
      <c r="JK74" s="12"/>
      <c r="JL74" s="12"/>
      <c r="JM74" s="12"/>
      <c r="JN74" s="12"/>
      <c r="JO74" s="12"/>
      <c r="JP74" s="12"/>
      <c r="JQ74" s="12"/>
      <c r="JR74" s="12"/>
      <c r="JS74" s="12"/>
      <c r="JT74" s="12"/>
      <c r="JU74" s="12"/>
      <c r="JV74" s="12"/>
      <c r="JW74" s="12"/>
      <c r="JX74" s="12"/>
      <c r="JY74" s="12"/>
      <c r="JZ74" s="12"/>
      <c r="KA74" s="12"/>
      <c r="KB74" s="12"/>
      <c r="KC74" s="12"/>
      <c r="KD74" s="12"/>
      <c r="KE74" s="12"/>
      <c r="KF74" s="12"/>
      <c r="KG74" s="12"/>
      <c r="KH74" s="12"/>
      <c r="KI74" s="12"/>
      <c r="KJ74" s="12"/>
      <c r="KK74" s="12"/>
      <c r="KL74" s="12"/>
      <c r="KM74" s="12"/>
      <c r="KN74" s="12"/>
      <c r="KO74" s="12"/>
      <c r="KP74" s="12"/>
      <c r="KQ74" s="12"/>
      <c r="KR74" s="12"/>
      <c r="KS74" s="12"/>
      <c r="KT74" s="12"/>
      <c r="KU74" s="12"/>
      <c r="KV74" s="12"/>
    </row>
    <row r="75" s="9" customFormat="1" customHeight="1" spans="1:310">
      <c r="A75" s="28">
        <v>45778</v>
      </c>
      <c r="B75" s="32" t="s">
        <v>1022</v>
      </c>
      <c r="C75" s="32" t="s">
        <v>30</v>
      </c>
      <c r="D75" s="32" t="s">
        <v>30</v>
      </c>
      <c r="E75" s="32" t="s">
        <v>30</v>
      </c>
      <c r="F75" s="32" t="s">
        <v>30</v>
      </c>
      <c r="G75" s="49" t="s">
        <v>1568</v>
      </c>
      <c r="H75" s="32">
        <v>5</v>
      </c>
      <c r="I75" s="32">
        <v>2024</v>
      </c>
      <c r="J75" s="36">
        <v>45804</v>
      </c>
      <c r="K75" s="36">
        <v>45929</v>
      </c>
      <c r="L75" s="32">
        <v>8</v>
      </c>
      <c r="M75" s="36" t="s">
        <v>1569</v>
      </c>
      <c r="N75" s="36" t="s">
        <v>1570</v>
      </c>
      <c r="O75" s="32" t="s">
        <v>1571</v>
      </c>
      <c r="P75" s="32" t="s">
        <v>1016</v>
      </c>
      <c r="Q75" s="32"/>
      <c r="R75" s="32" t="s">
        <v>1017</v>
      </c>
      <c r="S75" s="60" t="s">
        <v>1046</v>
      </c>
      <c r="T75" s="32">
        <v>250</v>
      </c>
      <c r="U75" s="32">
        <v>2025.5</v>
      </c>
      <c r="V75" s="33" t="s">
        <v>1062</v>
      </c>
      <c r="W75" s="39" t="s">
        <v>1062</v>
      </c>
      <c r="X75" s="39"/>
      <c r="Y75" s="32" t="s">
        <v>1016</v>
      </c>
      <c r="Z75" s="32" t="s">
        <v>1046</v>
      </c>
      <c r="AA75" s="32" t="s">
        <v>1046</v>
      </c>
      <c r="AB75" s="32" t="s">
        <v>1046</v>
      </c>
      <c r="AC75" s="32" t="s">
        <v>1046</v>
      </c>
      <c r="AD75" s="32" t="s">
        <v>1046</v>
      </c>
      <c r="AE75" s="32"/>
      <c r="AF75" s="32"/>
      <c r="AG75" s="32" t="s">
        <v>1046</v>
      </c>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GY75" s="11"/>
      <c r="GZ75" s="11"/>
      <c r="HA75" s="11"/>
      <c r="HB75" s="11"/>
      <c r="HC75" s="11"/>
      <c r="HD75" s="11"/>
      <c r="HE75" s="11"/>
      <c r="HF75" s="11"/>
      <c r="HG75" s="11"/>
      <c r="HH75" s="11"/>
      <c r="HI75" s="11"/>
      <c r="HJ75" s="11"/>
      <c r="HK75" s="11"/>
      <c r="HL75" s="11"/>
      <c r="HM75" s="11"/>
      <c r="HN75" s="11"/>
      <c r="HO75" s="11"/>
      <c r="HP75" s="11"/>
      <c r="HQ75" s="11"/>
      <c r="HR75" s="11"/>
      <c r="HS75" s="11"/>
      <c r="HT75" s="11"/>
      <c r="HU75" s="11"/>
      <c r="HV75" s="11"/>
      <c r="HW75" s="11"/>
      <c r="HX75" s="11"/>
      <c r="HY75" s="11"/>
      <c r="HZ75" s="11"/>
      <c r="IA75" s="11"/>
      <c r="IB75" s="11"/>
      <c r="IC75" s="11"/>
      <c r="ID75" s="11"/>
      <c r="IE75" s="11"/>
      <c r="IF75" s="11"/>
      <c r="IG75" s="11"/>
      <c r="IH75" s="11"/>
      <c r="II75" s="11"/>
      <c r="IJ75" s="11"/>
      <c r="IK75" s="11"/>
      <c r="IL75" s="11"/>
      <c r="IM75" s="11"/>
      <c r="IN75" s="11"/>
      <c r="IO75" s="11"/>
      <c r="IP75" s="11"/>
      <c r="IQ75" s="11"/>
      <c r="IR75" s="11"/>
      <c r="IS75" s="11"/>
      <c r="IT75" s="11"/>
      <c r="IU75" s="11"/>
      <c r="IV75" s="11"/>
      <c r="IW75" s="11"/>
      <c r="IX75" s="11"/>
      <c r="IY75" s="11"/>
      <c r="IZ75" s="11"/>
      <c r="JA75" s="11"/>
      <c r="JB75" s="11"/>
      <c r="JC75" s="11"/>
      <c r="JD75" s="11"/>
      <c r="JE75" s="11"/>
      <c r="JF75" s="11"/>
      <c r="JG75" s="11"/>
      <c r="JH75" s="11"/>
      <c r="JI75" s="11"/>
      <c r="JJ75" s="11"/>
      <c r="JK75" s="11"/>
      <c r="JL75" s="11"/>
      <c r="JM75" s="11"/>
      <c r="JN75" s="11"/>
      <c r="JO75" s="11"/>
      <c r="JP75" s="11"/>
      <c r="JQ75" s="11"/>
      <c r="JR75" s="11"/>
      <c r="JS75" s="11"/>
      <c r="JT75" s="11"/>
      <c r="JU75" s="11"/>
      <c r="JV75" s="11"/>
      <c r="JW75" s="11"/>
      <c r="JX75" s="11"/>
      <c r="JY75" s="11"/>
      <c r="JZ75" s="11"/>
      <c r="KA75" s="11"/>
      <c r="KB75" s="11"/>
      <c r="KC75" s="11"/>
      <c r="KD75" s="11"/>
      <c r="KE75" s="11"/>
      <c r="KF75" s="11"/>
      <c r="KG75" s="11"/>
      <c r="KH75" s="11"/>
      <c r="KI75" s="11"/>
      <c r="KJ75" s="11"/>
      <c r="KK75" s="11"/>
      <c r="KL75" s="11"/>
      <c r="KM75" s="11"/>
      <c r="KN75" s="11"/>
      <c r="KO75" s="11"/>
      <c r="KP75" s="11"/>
      <c r="KQ75" s="11"/>
      <c r="KR75" s="11"/>
      <c r="KS75" s="11"/>
      <c r="KT75" s="11"/>
      <c r="KU75" s="11"/>
      <c r="KV75" s="11"/>
      <c r="KW75" s="12"/>
      <c r="KX75" s="12"/>
    </row>
    <row r="76" s="12" customFormat="1" customHeight="1" spans="1:310">
      <c r="A76" s="28">
        <v>45778</v>
      </c>
      <c r="B76" s="29" t="s">
        <v>1022</v>
      </c>
      <c r="C76" s="30" t="s">
        <v>1007</v>
      </c>
      <c r="D76" s="30" t="s">
        <v>1215</v>
      </c>
      <c r="E76" s="30" t="s">
        <v>678</v>
      </c>
      <c r="F76" s="30" t="s">
        <v>1572</v>
      </c>
      <c r="G76" s="30" t="s">
        <v>1573</v>
      </c>
      <c r="H76" s="29">
        <v>5</v>
      </c>
      <c r="I76" s="29">
        <v>2021</v>
      </c>
      <c r="J76" s="45">
        <v>45786</v>
      </c>
      <c r="K76" s="45">
        <v>45838</v>
      </c>
      <c r="L76" s="30">
        <v>7</v>
      </c>
      <c r="M76" s="45">
        <v>45839</v>
      </c>
      <c r="N76" s="45">
        <v>45838</v>
      </c>
      <c r="O76" s="29" t="s">
        <v>1574</v>
      </c>
      <c r="P76" s="29" t="s">
        <v>1018</v>
      </c>
      <c r="Q76" s="29"/>
      <c r="R76" s="29" t="s">
        <v>1039</v>
      </c>
      <c r="S76" s="60">
        <v>1007.17</v>
      </c>
      <c r="T76" s="29">
        <v>30</v>
      </c>
      <c r="U76" s="29" t="s">
        <v>1575</v>
      </c>
      <c r="V76" s="46">
        <f>T76/S76</f>
        <v>0.0297864312876674</v>
      </c>
      <c r="W76" s="29"/>
      <c r="X76" s="29"/>
      <c r="Y76" s="30" t="s">
        <v>1018</v>
      </c>
      <c r="Z76" s="30" t="s">
        <v>1576</v>
      </c>
      <c r="AA76" s="47" t="s">
        <v>1577</v>
      </c>
      <c r="AB76" s="48" t="s">
        <v>1578</v>
      </c>
      <c r="AC76" s="47" t="s">
        <v>1579</v>
      </c>
      <c r="AD76" s="30" t="s">
        <v>1018</v>
      </c>
      <c r="AE76" s="91" t="s">
        <v>1580</v>
      </c>
      <c r="AF76" s="92" t="s">
        <v>1016</v>
      </c>
      <c r="AG76" s="47" t="s">
        <v>1581</v>
      </c>
    </row>
    <row r="77" s="9" customFormat="1" customHeight="1" spans="1:310">
      <c r="A77" s="28">
        <v>45778</v>
      </c>
      <c r="B77" s="29" t="s">
        <v>1022</v>
      </c>
      <c r="C77" s="29" t="s">
        <v>1023</v>
      </c>
      <c r="D77" s="29" t="s">
        <v>1047</v>
      </c>
      <c r="E77" s="30" t="s">
        <v>561</v>
      </c>
      <c r="F77" s="29" t="s">
        <v>562</v>
      </c>
      <c r="G77" s="29" t="s">
        <v>570</v>
      </c>
      <c r="H77" s="29">
        <v>5</v>
      </c>
      <c r="I77" s="29">
        <v>2020</v>
      </c>
      <c r="J77" s="45">
        <v>45785</v>
      </c>
      <c r="K77" s="45">
        <v>45473</v>
      </c>
      <c r="L77" s="29">
        <v>7</v>
      </c>
      <c r="M77" s="45">
        <v>45839</v>
      </c>
      <c r="N77" s="45">
        <v>46203</v>
      </c>
      <c r="O77" s="29">
        <v>59</v>
      </c>
      <c r="P77" s="29" t="s">
        <v>1016</v>
      </c>
      <c r="Q77" s="29" t="s">
        <v>1018</v>
      </c>
      <c r="R77" s="29" t="s">
        <v>1017</v>
      </c>
      <c r="S77" s="51">
        <v>2093.78</v>
      </c>
      <c r="T77" s="29">
        <v>480</v>
      </c>
      <c r="U77" s="29">
        <v>2025.4</v>
      </c>
      <c r="V77" s="46">
        <f>T77/S77</f>
        <v>0.229250446560766</v>
      </c>
      <c r="W77" s="34">
        <v>0.8</v>
      </c>
      <c r="X77" s="34"/>
      <c r="Y77" s="29" t="s">
        <v>1018</v>
      </c>
      <c r="Z77" s="29" t="s">
        <v>1582</v>
      </c>
      <c r="AA77" s="29" t="s">
        <v>1583</v>
      </c>
      <c r="AB77" s="35">
        <v>0.3</v>
      </c>
      <c r="AC77" s="29" t="s">
        <v>65</v>
      </c>
      <c r="AD77" s="29" t="s">
        <v>1018</v>
      </c>
      <c r="AE77" s="29" t="s">
        <v>134</v>
      </c>
      <c r="AF77" s="29" t="s">
        <v>1018</v>
      </c>
      <c r="AG77" s="50" t="s">
        <v>1081</v>
      </c>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c r="GS77" s="12"/>
      <c r="GT77" s="12"/>
      <c r="GU77" s="12"/>
      <c r="GV77" s="12"/>
      <c r="GW77" s="12"/>
      <c r="GX77" s="12"/>
      <c r="GY77" s="12"/>
      <c r="GZ77" s="12"/>
      <c r="HA77" s="12"/>
      <c r="HB77" s="12"/>
      <c r="HC77" s="12"/>
      <c r="HD77" s="12"/>
      <c r="HE77" s="12"/>
      <c r="HF77" s="12"/>
      <c r="HG77" s="12"/>
      <c r="HH77" s="12"/>
      <c r="HI77" s="12"/>
      <c r="HJ77" s="12"/>
      <c r="HK77" s="12"/>
      <c r="HL77" s="12"/>
      <c r="HM77" s="12"/>
      <c r="HN77" s="12"/>
      <c r="HO77" s="12"/>
      <c r="HP77" s="12"/>
      <c r="HQ77" s="12"/>
      <c r="HR77" s="12"/>
      <c r="HS77" s="12"/>
      <c r="HT77" s="12"/>
      <c r="HU77" s="12"/>
      <c r="HV77" s="12"/>
      <c r="HW77" s="12"/>
      <c r="HX77" s="12"/>
      <c r="HY77" s="12"/>
      <c r="HZ77" s="12"/>
      <c r="IA77" s="12"/>
      <c r="IB77" s="12"/>
      <c r="IC77" s="12"/>
      <c r="ID77" s="12"/>
      <c r="IE77" s="12"/>
      <c r="IF77" s="12"/>
      <c r="IG77" s="12"/>
      <c r="IH77" s="12"/>
      <c r="IJ77" s="12"/>
      <c r="IK77" s="12"/>
      <c r="IL77" s="12"/>
      <c r="IM77" s="12"/>
      <c r="IN77" s="12"/>
      <c r="IO77" s="12"/>
      <c r="IP77" s="12"/>
      <c r="IQ77" s="12"/>
      <c r="IR77" s="12"/>
      <c r="IS77" s="12"/>
      <c r="IT77" s="12"/>
      <c r="IU77" s="12"/>
      <c r="IV77" s="12"/>
      <c r="IW77" s="12"/>
      <c r="IX77" s="12"/>
      <c r="IY77" s="12"/>
      <c r="IZ77" s="12"/>
      <c r="JA77" s="12"/>
      <c r="JB77" s="12"/>
      <c r="JC77" s="12"/>
      <c r="JD77" s="12"/>
      <c r="JE77" s="12"/>
      <c r="JF77" s="12"/>
      <c r="JG77" s="12"/>
      <c r="JH77" s="12"/>
      <c r="JI77" s="12"/>
      <c r="JJ77" s="12"/>
      <c r="JK77" s="12"/>
      <c r="JL77" s="12"/>
      <c r="JM77" s="12"/>
      <c r="JN77" s="12"/>
      <c r="JO77" s="12"/>
      <c r="JP77" s="12"/>
      <c r="JQ77" s="12"/>
      <c r="JR77" s="12"/>
      <c r="JS77" s="12"/>
      <c r="JT77" s="12"/>
      <c r="JU77" s="12"/>
      <c r="JV77" s="12"/>
      <c r="JW77" s="12"/>
      <c r="JX77" s="12"/>
      <c r="JY77" s="12"/>
      <c r="JZ77" s="12"/>
      <c r="KA77" s="12"/>
      <c r="KB77" s="12"/>
      <c r="KC77" s="12"/>
      <c r="KD77" s="12"/>
      <c r="KE77" s="12"/>
      <c r="KF77" s="12"/>
      <c r="KG77" s="12"/>
      <c r="KH77" s="12"/>
      <c r="KI77" s="12"/>
      <c r="KJ77" s="12"/>
      <c r="KK77" s="12"/>
      <c r="KL77" s="12"/>
      <c r="KM77" s="12"/>
      <c r="KN77" s="12"/>
      <c r="KO77" s="12"/>
      <c r="KP77" s="12"/>
      <c r="KQ77" s="12"/>
      <c r="KR77" s="12"/>
      <c r="KS77" s="12"/>
      <c r="KT77" s="12"/>
      <c r="KU77" s="12"/>
      <c r="KV77" s="12"/>
    </row>
    <row r="78" s="9" customFormat="1" customHeight="1" spans="1:310">
      <c r="A78" s="28">
        <v>45778</v>
      </c>
      <c r="B78" s="29" t="s">
        <v>1022</v>
      </c>
      <c r="C78" s="30" t="s">
        <v>1023</v>
      </c>
      <c r="D78" s="30" t="s">
        <v>134</v>
      </c>
      <c r="E78" s="30" t="s">
        <v>924</v>
      </c>
      <c r="F78" s="30" t="s">
        <v>1584</v>
      </c>
      <c r="G78" s="30" t="s">
        <v>1585</v>
      </c>
      <c r="H78" s="29">
        <v>5</v>
      </c>
      <c r="I78" s="29">
        <v>2021</v>
      </c>
      <c r="J78" s="45">
        <v>45805</v>
      </c>
      <c r="K78" s="45">
        <v>45838</v>
      </c>
      <c r="L78" s="30">
        <v>7</v>
      </c>
      <c r="M78" s="45">
        <v>45839</v>
      </c>
      <c r="N78" s="45">
        <v>46203</v>
      </c>
      <c r="O78" s="29">
        <v>139</v>
      </c>
      <c r="P78" s="29" t="s">
        <v>1016</v>
      </c>
      <c r="Q78" s="29"/>
      <c r="R78" s="29" t="s">
        <v>1039</v>
      </c>
      <c r="S78" s="29">
        <v>240.5</v>
      </c>
      <c r="T78" s="29"/>
      <c r="U78" s="29">
        <v>2024.04</v>
      </c>
      <c r="V78" s="46" t="s">
        <v>1062</v>
      </c>
      <c r="W78" s="29" t="s">
        <v>1062</v>
      </c>
      <c r="X78" s="29" t="s">
        <v>1586</v>
      </c>
      <c r="Y78" s="30" t="s">
        <v>1018</v>
      </c>
      <c r="Z78" s="30" t="s">
        <v>1587</v>
      </c>
      <c r="AA78" s="47" t="s">
        <v>422</v>
      </c>
      <c r="AB78" s="48" t="s">
        <v>1588</v>
      </c>
      <c r="AC78" s="47" t="s">
        <v>37</v>
      </c>
      <c r="AD78" s="30" t="s">
        <v>1030</v>
      </c>
      <c r="AE78" s="30"/>
      <c r="AF78" s="30"/>
      <c r="AG78" s="50" t="s">
        <v>1081</v>
      </c>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c r="GS78" s="12"/>
      <c r="GT78" s="12"/>
      <c r="GU78" s="12"/>
      <c r="GV78" s="12"/>
      <c r="GW78" s="12"/>
      <c r="GX78" s="12"/>
      <c r="GY78" s="12"/>
      <c r="GZ78" s="12"/>
      <c r="HA78" s="12"/>
      <c r="HB78" s="12"/>
      <c r="HC78" s="12"/>
      <c r="HD78" s="12"/>
      <c r="HE78" s="12"/>
      <c r="HF78" s="12"/>
      <c r="HG78" s="12"/>
      <c r="HH78" s="12"/>
      <c r="HI78" s="12"/>
      <c r="HJ78" s="12"/>
      <c r="HK78" s="12"/>
      <c r="HL78" s="12"/>
      <c r="HM78" s="12"/>
      <c r="HN78" s="12"/>
      <c r="HO78" s="12"/>
      <c r="HP78" s="12"/>
      <c r="HQ78" s="12"/>
      <c r="HR78" s="12"/>
      <c r="HS78" s="12"/>
      <c r="HT78" s="12"/>
      <c r="HU78" s="12"/>
      <c r="HV78" s="12"/>
      <c r="HW78" s="12"/>
      <c r="HX78" s="12"/>
      <c r="HY78" s="12"/>
      <c r="HZ78" s="12"/>
      <c r="IA78" s="12"/>
      <c r="IB78" s="12"/>
      <c r="IC78" s="12"/>
      <c r="ID78" s="12"/>
      <c r="IE78" s="12"/>
      <c r="IF78" s="12"/>
      <c r="IG78" s="12"/>
      <c r="IH78" s="12"/>
      <c r="II78" s="12"/>
      <c r="IJ78" s="12"/>
      <c r="IK78" s="12"/>
      <c r="IL78" s="12"/>
      <c r="IM78" s="12"/>
      <c r="IN78" s="12"/>
      <c r="IO78" s="12"/>
      <c r="IP78" s="12"/>
      <c r="IQ78" s="12"/>
      <c r="IR78" s="12"/>
      <c r="IS78" s="12"/>
      <c r="IT78" s="12"/>
      <c r="IU78" s="12"/>
      <c r="IV78" s="12"/>
      <c r="IW78" s="12"/>
      <c r="IX78" s="12"/>
      <c r="IY78" s="12"/>
      <c r="IZ78" s="12"/>
      <c r="JA78" s="12"/>
      <c r="JB78" s="12"/>
      <c r="JC78" s="12"/>
      <c r="JD78" s="12"/>
      <c r="JE78" s="12"/>
      <c r="JF78" s="12"/>
      <c r="JG78" s="12"/>
      <c r="JH78" s="12"/>
      <c r="JI78" s="12"/>
      <c r="JJ78" s="12"/>
      <c r="JK78" s="12"/>
      <c r="JL78" s="12"/>
      <c r="JM78" s="12"/>
      <c r="JN78" s="12"/>
      <c r="JO78" s="12"/>
      <c r="JP78" s="12"/>
      <c r="JQ78" s="12"/>
      <c r="JR78" s="12"/>
      <c r="JS78" s="12"/>
      <c r="JT78" s="12"/>
      <c r="JU78" s="12"/>
      <c r="JV78" s="12"/>
      <c r="JW78" s="12"/>
      <c r="JX78" s="12"/>
      <c r="JY78" s="12"/>
      <c r="JZ78" s="12"/>
      <c r="KA78" s="12"/>
      <c r="KB78" s="12"/>
      <c r="KC78" s="12"/>
      <c r="KD78" s="12"/>
      <c r="KE78" s="12"/>
      <c r="KF78" s="12"/>
      <c r="KG78" s="12"/>
      <c r="KH78" s="12"/>
      <c r="KI78" s="12"/>
      <c r="KJ78" s="12"/>
      <c r="KK78" s="12"/>
      <c r="KL78" s="12"/>
      <c r="KM78" s="12"/>
      <c r="KN78" s="12"/>
      <c r="KO78" s="12"/>
      <c r="KP78" s="12"/>
      <c r="KQ78" s="12"/>
      <c r="KR78" s="12"/>
      <c r="KS78" s="12"/>
      <c r="KT78" s="12"/>
      <c r="KU78" s="12"/>
      <c r="KV78" s="12"/>
    </row>
    <row r="79" s="9" customFormat="1" customHeight="1" spans="1:310">
      <c r="A79" s="28">
        <v>45809</v>
      </c>
      <c r="B79" s="29" t="s">
        <v>1022</v>
      </c>
      <c r="C79" s="29" t="s">
        <v>1007</v>
      </c>
      <c r="D79" s="29" t="s">
        <v>134</v>
      </c>
      <c r="E79" s="29" t="s">
        <v>678</v>
      </c>
      <c r="F79" s="29" t="s">
        <v>1589</v>
      </c>
      <c r="G79" s="29" t="s">
        <v>1590</v>
      </c>
      <c r="H79" s="29">
        <v>6</v>
      </c>
      <c r="I79" s="29">
        <v>2021</v>
      </c>
      <c r="J79" s="45">
        <v>45820</v>
      </c>
      <c r="K79" s="45">
        <v>45881</v>
      </c>
      <c r="L79" s="29">
        <v>6</v>
      </c>
      <c r="M79" s="45">
        <v>45870</v>
      </c>
      <c r="N79" s="45">
        <v>46173</v>
      </c>
      <c r="O79" s="29" t="s">
        <v>1591</v>
      </c>
      <c r="P79" s="29" t="s">
        <v>1018</v>
      </c>
      <c r="Q79" s="29" t="s">
        <v>1018</v>
      </c>
      <c r="R79" s="29" t="s">
        <v>1039</v>
      </c>
      <c r="S79" s="60">
        <v>1101.84</v>
      </c>
      <c r="T79" s="29">
        <v>113</v>
      </c>
      <c r="U79" s="29">
        <v>2025.5</v>
      </c>
      <c r="V79" s="46">
        <f>T79/S79</f>
        <v>0.102555724969143</v>
      </c>
      <c r="W79" s="34">
        <v>0.85</v>
      </c>
      <c r="X79" s="34" t="s">
        <v>1592</v>
      </c>
      <c r="Y79" s="29" t="s">
        <v>1018</v>
      </c>
      <c r="Z79" s="29" t="s">
        <v>1593</v>
      </c>
      <c r="AA79" s="29" t="s">
        <v>1594</v>
      </c>
      <c r="AB79" s="35" t="s">
        <v>1595</v>
      </c>
      <c r="AC79" s="29" t="s">
        <v>1596</v>
      </c>
      <c r="AD79" s="29" t="s">
        <v>1018</v>
      </c>
      <c r="AE79" s="29"/>
      <c r="AF79" s="29"/>
      <c r="AG79" s="50" t="s">
        <v>1597</v>
      </c>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c r="GS79" s="12"/>
      <c r="GT79" s="12"/>
      <c r="GU79" s="12"/>
      <c r="GV79" s="12"/>
      <c r="GW79" s="12"/>
      <c r="GX79" s="12"/>
      <c r="GY79" s="12"/>
      <c r="GZ79" s="12"/>
      <c r="HA79" s="12"/>
      <c r="HB79" s="12"/>
      <c r="HC79" s="12"/>
      <c r="HD79" s="12"/>
      <c r="HE79" s="12"/>
      <c r="HF79" s="12"/>
      <c r="HG79" s="12"/>
      <c r="HH79" s="12"/>
      <c r="HI79" s="12"/>
      <c r="HJ79" s="12"/>
      <c r="HK79" s="12"/>
      <c r="HL79" s="12"/>
      <c r="HM79" s="12"/>
      <c r="HN79" s="12"/>
      <c r="HO79" s="12"/>
      <c r="HP79" s="12"/>
      <c r="HQ79" s="12"/>
      <c r="HR79" s="12"/>
      <c r="HS79" s="12"/>
      <c r="HT79" s="12"/>
      <c r="HU79" s="12"/>
      <c r="HV79" s="12"/>
      <c r="HW79" s="12"/>
      <c r="HX79" s="12"/>
      <c r="HY79" s="12"/>
      <c r="HZ79" s="12"/>
      <c r="IA79" s="12"/>
      <c r="IB79" s="12"/>
      <c r="IC79" s="12"/>
      <c r="ID79" s="12"/>
      <c r="IE79" s="12"/>
      <c r="IF79" s="12"/>
      <c r="IG79" s="12"/>
      <c r="IH79" s="12"/>
      <c r="II79" s="22"/>
      <c r="KW79" s="12"/>
      <c r="KX79" s="12"/>
    </row>
    <row r="80" s="9" customFormat="1" customHeight="1" spans="1:310">
      <c r="A80" s="28">
        <v>45809</v>
      </c>
      <c r="B80" s="29" t="s">
        <v>1022</v>
      </c>
      <c r="C80" s="29" t="s">
        <v>1023</v>
      </c>
      <c r="D80" s="29" t="s">
        <v>1047</v>
      </c>
      <c r="E80" s="29" t="s">
        <v>1598</v>
      </c>
      <c r="F80" s="29" t="s">
        <v>1599</v>
      </c>
      <c r="G80" s="29" t="s">
        <v>1600</v>
      </c>
      <c r="H80" s="29">
        <v>6</v>
      </c>
      <c r="I80" s="29">
        <v>2021</v>
      </c>
      <c r="J80" s="45">
        <v>45836</v>
      </c>
      <c r="K80" s="45">
        <v>45899</v>
      </c>
      <c r="L80" s="29">
        <v>8</v>
      </c>
      <c r="M80" s="45">
        <v>45900</v>
      </c>
      <c r="N80" s="45">
        <v>46264</v>
      </c>
      <c r="O80" s="29">
        <v>128</v>
      </c>
      <c r="P80" s="29" t="s">
        <v>1016</v>
      </c>
      <c r="Q80" s="29" t="s">
        <v>1018</v>
      </c>
      <c r="R80" s="29" t="s">
        <v>1017</v>
      </c>
      <c r="S80" s="60">
        <v>741.14</v>
      </c>
      <c r="T80" s="29">
        <f>85/3</f>
        <v>28.3333333333333</v>
      </c>
      <c r="U80" s="29">
        <v>2024.06</v>
      </c>
      <c r="V80" s="46">
        <f>T80/S80</f>
        <v>0.0382293943564419</v>
      </c>
      <c r="W80" s="34"/>
      <c r="X80" s="34"/>
      <c r="Y80" s="29" t="s">
        <v>1018</v>
      </c>
      <c r="Z80" s="29" t="s">
        <v>1201</v>
      </c>
      <c r="AA80" s="29" t="s">
        <v>1601</v>
      </c>
      <c r="AB80" s="35" t="s">
        <v>1602</v>
      </c>
      <c r="AC80" s="29" t="s">
        <v>367</v>
      </c>
      <c r="AD80" s="29" t="s">
        <v>1016</v>
      </c>
      <c r="AE80" s="29" t="s">
        <v>134</v>
      </c>
      <c r="AF80" s="29" t="s">
        <v>1018</v>
      </c>
      <c r="AG80" s="29" t="s">
        <v>1603</v>
      </c>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c r="GS80" s="12"/>
      <c r="GT80" s="12"/>
      <c r="GU80" s="12"/>
      <c r="GV80" s="12"/>
      <c r="GW80" s="12"/>
      <c r="GX80" s="12"/>
      <c r="GY80" s="12"/>
      <c r="GZ80" s="12"/>
      <c r="HA80" s="12"/>
      <c r="HB80" s="12"/>
      <c r="HC80" s="12"/>
      <c r="HD80" s="12"/>
      <c r="HE80" s="12"/>
      <c r="HF80" s="12"/>
      <c r="HG80" s="12"/>
      <c r="HH80" s="12"/>
      <c r="HI80" s="12"/>
      <c r="HJ80" s="12"/>
      <c r="HK80" s="12"/>
      <c r="HL80" s="12"/>
      <c r="HM80" s="12"/>
      <c r="HN80" s="12"/>
      <c r="HO80" s="12"/>
      <c r="HP80" s="12"/>
      <c r="HQ80" s="12"/>
      <c r="HR80" s="12"/>
      <c r="HS80" s="12"/>
      <c r="HT80" s="12"/>
      <c r="HU80" s="12"/>
      <c r="HV80" s="12"/>
      <c r="HW80" s="12"/>
      <c r="HX80" s="12"/>
      <c r="HY80" s="12"/>
      <c r="HZ80" s="12"/>
      <c r="IA80" s="12"/>
      <c r="IB80" s="12"/>
      <c r="IC80" s="12"/>
      <c r="ID80" s="12"/>
      <c r="IE80" s="12"/>
      <c r="IF80" s="12"/>
      <c r="IG80" s="12"/>
      <c r="IH80" s="12"/>
      <c r="II80" s="22"/>
      <c r="KW80" s="19"/>
      <c r="KX80" s="19"/>
    </row>
    <row r="81" s="9" customFormat="1" customHeight="1" spans="1:310">
      <c r="A81" s="28">
        <v>45809</v>
      </c>
      <c r="B81" s="29" t="s">
        <v>1022</v>
      </c>
      <c r="C81" s="29" t="s">
        <v>1023</v>
      </c>
      <c r="D81" s="29" t="s">
        <v>134</v>
      </c>
      <c r="E81" s="29" t="s">
        <v>924</v>
      </c>
      <c r="F81" s="42" t="s">
        <v>1604</v>
      </c>
      <c r="G81" s="42" t="s">
        <v>1605</v>
      </c>
      <c r="H81" s="29">
        <v>6</v>
      </c>
      <c r="I81" s="29">
        <v>2023</v>
      </c>
      <c r="J81" s="45" t="s">
        <v>1606</v>
      </c>
      <c r="K81" s="45" t="s">
        <v>1012</v>
      </c>
      <c r="L81" s="29">
        <v>1</v>
      </c>
      <c r="M81" s="45" t="s">
        <v>1013</v>
      </c>
      <c r="N81" s="45" t="s">
        <v>1014</v>
      </c>
      <c r="O81" s="29" t="s">
        <v>1607</v>
      </c>
      <c r="P81" s="29" t="s">
        <v>1018</v>
      </c>
      <c r="Q81" s="29" t="s">
        <v>1018</v>
      </c>
      <c r="R81" s="29" t="s">
        <v>1017</v>
      </c>
      <c r="S81" s="51">
        <v>570.1</v>
      </c>
      <c r="T81" s="60">
        <v>30</v>
      </c>
      <c r="U81" s="29">
        <v>2024.03</v>
      </c>
      <c r="V81" s="46">
        <f>30/S81</f>
        <v>0.0526223469566743</v>
      </c>
      <c r="W81" s="34"/>
      <c r="X81" s="34" t="s">
        <v>1608</v>
      </c>
      <c r="Y81" s="29" t="s">
        <v>1018</v>
      </c>
      <c r="Z81" s="29" t="s">
        <v>1609</v>
      </c>
      <c r="AA81" s="29" t="s">
        <v>1610</v>
      </c>
      <c r="AB81" s="29" t="s">
        <v>1611</v>
      </c>
      <c r="AC81" s="29" t="s">
        <v>1204</v>
      </c>
      <c r="AD81" s="29" t="s">
        <v>1018</v>
      </c>
      <c r="AE81" s="29"/>
      <c r="AF81" s="29"/>
      <c r="AG81" s="29"/>
      <c r="II81" s="12"/>
    </row>
    <row r="82" s="11" customFormat="1" customHeight="1" spans="1:310">
      <c r="A82" s="28">
        <v>45809</v>
      </c>
      <c r="B82" s="29" t="s">
        <v>1022</v>
      </c>
      <c r="C82" s="29" t="s">
        <v>1057</v>
      </c>
      <c r="D82" s="29" t="s">
        <v>1058</v>
      </c>
      <c r="E82" s="30" t="s">
        <v>219</v>
      </c>
      <c r="F82" s="29" t="s">
        <v>220</v>
      </c>
      <c r="G82" s="29" t="s">
        <v>221</v>
      </c>
      <c r="H82" s="29">
        <v>6</v>
      </c>
      <c r="I82" s="29">
        <v>2020</v>
      </c>
      <c r="J82" s="45">
        <v>45825</v>
      </c>
      <c r="K82" s="45">
        <v>46235</v>
      </c>
      <c r="L82" s="29">
        <v>8</v>
      </c>
      <c r="M82" s="45">
        <v>45870</v>
      </c>
      <c r="N82" s="45">
        <v>46234</v>
      </c>
      <c r="O82" s="29" t="s">
        <v>1612</v>
      </c>
      <c r="P82" s="29" t="s">
        <v>1016</v>
      </c>
      <c r="Q82" s="29" t="s">
        <v>1018</v>
      </c>
      <c r="R82" s="29" t="s">
        <v>1017</v>
      </c>
      <c r="S82" s="30">
        <v>1036</v>
      </c>
      <c r="T82" s="29">
        <v>75</v>
      </c>
      <c r="U82" s="45" t="s">
        <v>1613</v>
      </c>
      <c r="V82" s="46">
        <f>T82/S82</f>
        <v>0.0723938223938224</v>
      </c>
      <c r="W82" s="34">
        <v>0.7684</v>
      </c>
      <c r="X82" s="34" t="s">
        <v>1614</v>
      </c>
      <c r="Y82" s="29" t="s">
        <v>1016</v>
      </c>
      <c r="Z82" s="47" t="s">
        <v>1046</v>
      </c>
      <c r="AA82" s="47" t="s">
        <v>1046</v>
      </c>
      <c r="AB82" s="47" t="s">
        <v>1046</v>
      </c>
      <c r="AC82" s="47" t="s">
        <v>1046</v>
      </c>
      <c r="AD82" s="47" t="s">
        <v>1046</v>
      </c>
      <c r="AE82" s="47"/>
      <c r="AF82" s="47"/>
      <c r="AG82" s="47" t="s">
        <v>1046</v>
      </c>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c r="GS82" s="12"/>
      <c r="GT82" s="12"/>
      <c r="GU82" s="12"/>
      <c r="GV82" s="12"/>
      <c r="GW82" s="12"/>
      <c r="GX82" s="12"/>
      <c r="GY82" s="12"/>
      <c r="GZ82" s="12"/>
      <c r="HA82" s="12"/>
      <c r="HB82" s="12"/>
      <c r="HC82" s="12"/>
      <c r="HD82" s="12"/>
      <c r="HE82" s="12"/>
      <c r="HF82" s="12"/>
      <c r="HG82" s="12"/>
      <c r="HH82" s="12"/>
      <c r="HI82" s="12"/>
      <c r="HJ82" s="12"/>
      <c r="HK82" s="12"/>
      <c r="HL82" s="12"/>
      <c r="HM82" s="12"/>
      <c r="HN82" s="12"/>
      <c r="HO82" s="12"/>
      <c r="HP82" s="12"/>
      <c r="HQ82" s="12"/>
      <c r="HR82" s="12"/>
      <c r="HS82" s="12"/>
      <c r="HT82" s="12"/>
      <c r="HU82" s="12"/>
      <c r="HV82" s="12"/>
      <c r="HW82" s="12"/>
      <c r="HX82" s="12"/>
      <c r="HY82" s="12"/>
      <c r="HZ82" s="12"/>
      <c r="IA82" s="12"/>
      <c r="IB82" s="12"/>
      <c r="IC82" s="12"/>
      <c r="ID82" s="12"/>
      <c r="IE82" s="12"/>
      <c r="IF82" s="12"/>
      <c r="IG82" s="12"/>
      <c r="IH82" s="12"/>
      <c r="II82" s="12"/>
      <c r="IJ82" s="9"/>
      <c r="IK82" s="9"/>
      <c r="IL82" s="9"/>
      <c r="IM82" s="9"/>
      <c r="IN82" s="9"/>
      <c r="IO82" s="9"/>
      <c r="IP82" s="9"/>
      <c r="IQ82" s="9"/>
      <c r="IR82" s="9"/>
      <c r="IS82" s="9"/>
      <c r="IT82" s="9"/>
      <c r="IU82" s="9"/>
      <c r="IV82" s="9"/>
      <c r="IW82" s="9"/>
      <c r="IX82" s="9"/>
      <c r="IY82" s="9"/>
      <c r="IZ82" s="9"/>
      <c r="JA82" s="9"/>
      <c r="JB82" s="9"/>
      <c r="JC82" s="9"/>
      <c r="JD82" s="9"/>
      <c r="JE82" s="9"/>
      <c r="JF82" s="9"/>
      <c r="JG82" s="9"/>
      <c r="JH82" s="9"/>
      <c r="JI82" s="9"/>
      <c r="JJ82" s="9"/>
      <c r="JK82" s="9"/>
      <c r="JL82" s="9"/>
      <c r="JM82" s="9"/>
      <c r="JN82" s="9"/>
      <c r="JO82" s="9"/>
      <c r="JP82" s="9"/>
      <c r="JQ82" s="9"/>
      <c r="JR82" s="9"/>
      <c r="JS82" s="9"/>
      <c r="JT82" s="9"/>
      <c r="JU82" s="9"/>
      <c r="JV82" s="9"/>
      <c r="JW82" s="9"/>
      <c r="JX82" s="9"/>
      <c r="JY82" s="9"/>
      <c r="JZ82" s="9"/>
      <c r="KA82" s="9"/>
      <c r="KB82" s="9"/>
      <c r="KC82" s="9"/>
      <c r="KD82" s="9"/>
      <c r="KE82" s="9"/>
      <c r="KF82" s="9"/>
      <c r="KG82" s="9"/>
      <c r="KH82" s="9"/>
      <c r="KI82" s="9"/>
      <c r="KJ82" s="9"/>
      <c r="KK82" s="9"/>
      <c r="KL82" s="9"/>
      <c r="KM82" s="9"/>
      <c r="KN82" s="9"/>
      <c r="KO82" s="9"/>
      <c r="KP82" s="9"/>
      <c r="KQ82" s="9"/>
      <c r="KR82" s="9"/>
      <c r="KS82" s="9"/>
      <c r="KT82" s="9"/>
      <c r="KU82" s="9"/>
      <c r="KV82" s="9"/>
      <c r="KW82" s="9"/>
      <c r="KX82" s="9"/>
    </row>
    <row r="83" s="13" customFormat="1" customHeight="1" spans="1:310">
      <c r="A83" s="28">
        <v>45839</v>
      </c>
      <c r="B83" s="29" t="s">
        <v>1022</v>
      </c>
      <c r="C83" s="29" t="s">
        <v>1057</v>
      </c>
      <c r="D83" s="29" t="s">
        <v>1058</v>
      </c>
      <c r="E83" s="29" t="s">
        <v>638</v>
      </c>
      <c r="F83" s="29" t="s">
        <v>1615</v>
      </c>
      <c r="G83" s="29" t="s">
        <v>1616</v>
      </c>
      <c r="H83" s="29">
        <v>7</v>
      </c>
      <c r="I83" s="29">
        <v>2022</v>
      </c>
      <c r="J83" s="45" t="s">
        <v>1617</v>
      </c>
      <c r="K83" s="45" t="s">
        <v>1618</v>
      </c>
      <c r="L83" s="29">
        <v>9</v>
      </c>
      <c r="M83" s="45">
        <v>45901</v>
      </c>
      <c r="N83" s="45">
        <v>46265</v>
      </c>
      <c r="O83" s="29" t="s">
        <v>1619</v>
      </c>
      <c r="P83" s="29" t="s">
        <v>1018</v>
      </c>
      <c r="Q83" s="29" t="s">
        <v>1018</v>
      </c>
      <c r="R83" s="29" t="s">
        <v>1620</v>
      </c>
      <c r="S83" s="60">
        <f>4154-528</f>
        <v>3626</v>
      </c>
      <c r="T83" s="29">
        <v>180</v>
      </c>
      <c r="U83" s="29" t="s">
        <v>1621</v>
      </c>
      <c r="V83" s="46">
        <f>T83/S83</f>
        <v>0.0496414782129068</v>
      </c>
      <c r="W83" s="46"/>
      <c r="X83" s="34"/>
      <c r="Y83" s="29" t="s">
        <v>1018</v>
      </c>
      <c r="Z83" s="29" t="s">
        <v>1622</v>
      </c>
      <c r="AA83" s="29" t="s">
        <v>1623</v>
      </c>
      <c r="AB83" s="29" t="s">
        <v>1624</v>
      </c>
      <c r="AC83" s="29" t="s">
        <v>37</v>
      </c>
      <c r="AD83" s="29" t="s">
        <v>1018</v>
      </c>
      <c r="AE83" s="29" t="s">
        <v>134</v>
      </c>
      <c r="AF83" s="29" t="s">
        <v>1018</v>
      </c>
      <c r="AG83" s="29" t="s">
        <v>1486</v>
      </c>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c r="GS83" s="12"/>
      <c r="GT83" s="12"/>
      <c r="GU83" s="12"/>
      <c r="GV83" s="12"/>
      <c r="GW83" s="12"/>
      <c r="GX83" s="12"/>
      <c r="GY83" s="12"/>
      <c r="GZ83" s="12"/>
      <c r="HA83" s="12"/>
      <c r="HB83" s="12"/>
      <c r="HC83" s="12"/>
      <c r="HD83" s="12"/>
      <c r="HE83" s="12"/>
      <c r="HF83" s="12"/>
      <c r="HG83" s="12"/>
      <c r="HH83" s="12"/>
      <c r="HI83" s="12"/>
      <c r="HJ83" s="12"/>
      <c r="HK83" s="12"/>
      <c r="HL83" s="12"/>
      <c r="HM83" s="12"/>
      <c r="HN83" s="12"/>
      <c r="HO83" s="12"/>
      <c r="HP83" s="12"/>
      <c r="HQ83" s="12"/>
      <c r="HR83" s="12"/>
      <c r="HS83" s="12"/>
      <c r="HT83" s="12"/>
      <c r="HU83" s="12"/>
      <c r="HV83" s="12"/>
      <c r="HW83" s="12"/>
      <c r="HX83" s="12"/>
      <c r="HY83" s="12"/>
      <c r="HZ83" s="12"/>
      <c r="IA83" s="12"/>
      <c r="IB83" s="12"/>
      <c r="IC83" s="12"/>
      <c r="ID83" s="12"/>
      <c r="IE83" s="12"/>
      <c r="IF83" s="12"/>
      <c r="IG83" s="12"/>
      <c r="IH83" s="12"/>
      <c r="II83" s="12"/>
      <c r="IJ83" s="9"/>
      <c r="IK83" s="9"/>
      <c r="IL83" s="9"/>
      <c r="IM83" s="9"/>
      <c r="IN83" s="9"/>
      <c r="IO83" s="9"/>
      <c r="IP83" s="9"/>
      <c r="IQ83" s="9"/>
      <c r="IR83" s="9"/>
      <c r="IS83" s="9"/>
      <c r="IT83" s="9"/>
      <c r="IU83" s="9"/>
      <c r="IV83" s="9"/>
      <c r="IW83" s="9"/>
      <c r="IX83" s="9"/>
      <c r="IY83" s="9"/>
      <c r="IZ83" s="9"/>
      <c r="JA83" s="9"/>
      <c r="JB83" s="9"/>
      <c r="JC83" s="9"/>
      <c r="JD83" s="9"/>
      <c r="JE83" s="9"/>
      <c r="JF83" s="9"/>
      <c r="JG83" s="9"/>
      <c r="JH83" s="9"/>
      <c r="JI83" s="9"/>
      <c r="JJ83" s="9"/>
      <c r="JK83" s="9"/>
      <c r="JL83" s="9"/>
      <c r="JM83" s="9"/>
      <c r="JN83" s="9"/>
      <c r="JO83" s="9"/>
      <c r="JP83" s="9"/>
      <c r="JQ83" s="9"/>
      <c r="JR83" s="9"/>
      <c r="JS83" s="9"/>
      <c r="JT83" s="9"/>
      <c r="JU83" s="9"/>
      <c r="JV83" s="9"/>
      <c r="JW83" s="9"/>
      <c r="JX83" s="9"/>
      <c r="JY83" s="9"/>
      <c r="JZ83" s="9"/>
      <c r="KA83" s="9"/>
      <c r="KB83" s="9"/>
      <c r="KC83" s="9"/>
      <c r="KD83" s="9"/>
      <c r="KE83" s="9"/>
      <c r="KF83" s="9"/>
      <c r="KG83" s="9"/>
      <c r="KH83" s="9"/>
      <c r="KI83" s="9"/>
      <c r="KJ83" s="9"/>
      <c r="KK83" s="9"/>
      <c r="KL83" s="9"/>
      <c r="KM83" s="9"/>
      <c r="KN83" s="9"/>
      <c r="KO83" s="9"/>
      <c r="KP83" s="9"/>
      <c r="KQ83" s="9"/>
      <c r="KR83" s="9"/>
      <c r="KS83" s="9"/>
      <c r="KT83" s="9"/>
      <c r="KU83" s="9"/>
      <c r="KV83" s="9"/>
      <c r="KW83" s="16"/>
      <c r="KX83" s="16"/>
    </row>
    <row r="84" s="9" customFormat="1" customHeight="1" spans="1:310">
      <c r="A84" s="28">
        <v>45839</v>
      </c>
      <c r="B84" s="29" t="s">
        <v>1022</v>
      </c>
      <c r="C84" s="29" t="s">
        <v>1032</v>
      </c>
      <c r="D84" s="29" t="s">
        <v>134</v>
      </c>
      <c r="E84" s="29" t="s">
        <v>381</v>
      </c>
      <c r="F84" s="29" t="s">
        <v>518</v>
      </c>
      <c r="G84" s="29" t="s">
        <v>1625</v>
      </c>
      <c r="H84" s="29">
        <v>7</v>
      </c>
      <c r="I84" s="29">
        <v>2020</v>
      </c>
      <c r="J84" s="45" t="s">
        <v>1626</v>
      </c>
      <c r="K84" s="45" t="s">
        <v>1627</v>
      </c>
      <c r="L84" s="29">
        <v>8</v>
      </c>
      <c r="M84" s="45" t="s">
        <v>1628</v>
      </c>
      <c r="N84" s="45" t="s">
        <v>1629</v>
      </c>
      <c r="O84" s="29" t="s">
        <v>1630</v>
      </c>
      <c r="P84" s="29"/>
      <c r="Q84" s="29" t="s">
        <v>1018</v>
      </c>
      <c r="R84" s="29" t="s">
        <v>1017</v>
      </c>
      <c r="S84" s="60">
        <v>698.12</v>
      </c>
      <c r="T84" s="29">
        <v>31</v>
      </c>
      <c r="U84" s="29">
        <v>2023.9</v>
      </c>
      <c r="V84" s="46">
        <f>T84/S84</f>
        <v>0.044404973357016</v>
      </c>
      <c r="W84" s="46"/>
      <c r="X84" s="34"/>
      <c r="Y84" s="29" t="s">
        <v>1249</v>
      </c>
      <c r="Z84" s="29" t="s">
        <v>1631</v>
      </c>
      <c r="AA84" s="29" t="s">
        <v>1632</v>
      </c>
      <c r="AB84" s="29" t="s">
        <v>1633</v>
      </c>
      <c r="AC84" s="29" t="s">
        <v>367</v>
      </c>
      <c r="AD84" s="29" t="s">
        <v>1016</v>
      </c>
      <c r="AE84" s="29"/>
      <c r="AF84" s="29"/>
      <c r="AG84" s="78"/>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c r="GS84" s="12"/>
      <c r="GT84" s="12"/>
      <c r="GU84" s="12"/>
      <c r="GV84" s="12"/>
      <c r="GW84" s="12"/>
      <c r="GX84" s="12"/>
      <c r="GY84" s="12"/>
      <c r="GZ84" s="12"/>
      <c r="HA84" s="12"/>
      <c r="HB84" s="12"/>
      <c r="HC84" s="12"/>
      <c r="HD84" s="12"/>
      <c r="HE84" s="12"/>
      <c r="HF84" s="12"/>
      <c r="HG84" s="12"/>
      <c r="HH84" s="12"/>
      <c r="HI84" s="12"/>
      <c r="HJ84" s="12"/>
      <c r="HK84" s="12"/>
      <c r="HL84" s="12"/>
      <c r="HM84" s="12"/>
      <c r="HN84" s="12"/>
      <c r="HO84" s="12"/>
      <c r="HP84" s="12"/>
      <c r="HQ84" s="12"/>
      <c r="HR84" s="12"/>
      <c r="HS84" s="12"/>
      <c r="HT84" s="12"/>
      <c r="HU84" s="12"/>
      <c r="HV84" s="12"/>
      <c r="HW84" s="12"/>
      <c r="HX84" s="12"/>
      <c r="HY84" s="12"/>
      <c r="HZ84" s="12"/>
      <c r="IA84" s="12"/>
      <c r="IB84" s="12"/>
      <c r="IC84" s="12"/>
      <c r="ID84" s="12"/>
      <c r="IE84" s="12"/>
      <c r="IF84" s="12"/>
      <c r="IG84" s="12"/>
      <c r="IH84" s="12"/>
      <c r="II84" s="12"/>
      <c r="KW84" s="10"/>
      <c r="KX84" s="10"/>
    </row>
    <row r="85" s="10" customFormat="1" customHeight="1" spans="1:310">
      <c r="A85" s="28">
        <v>45839</v>
      </c>
      <c r="B85" s="29" t="s">
        <v>1022</v>
      </c>
      <c r="C85" s="29" t="s">
        <v>1032</v>
      </c>
      <c r="D85" s="29" t="s">
        <v>134</v>
      </c>
      <c r="E85" s="29" t="s">
        <v>903</v>
      </c>
      <c r="F85" s="29" t="s">
        <v>1634</v>
      </c>
      <c r="G85" s="29" t="s">
        <v>1635</v>
      </c>
      <c r="H85" s="29">
        <v>7</v>
      </c>
      <c r="I85" s="29">
        <v>2022</v>
      </c>
      <c r="J85" s="29" t="s">
        <v>1636</v>
      </c>
      <c r="K85" s="29" t="s">
        <v>1637</v>
      </c>
      <c r="L85" s="29">
        <v>9</v>
      </c>
      <c r="M85" s="29" t="s">
        <v>1638</v>
      </c>
      <c r="N85" s="29" t="s">
        <v>1639</v>
      </c>
      <c r="O85" s="29">
        <v>78</v>
      </c>
      <c r="P85" s="29" t="s">
        <v>1016</v>
      </c>
      <c r="Q85" s="29" t="s">
        <v>1018</v>
      </c>
      <c r="R85" s="29" t="s">
        <v>1017</v>
      </c>
      <c r="S85" s="29">
        <v>251.42</v>
      </c>
      <c r="T85" s="29">
        <v>11.39</v>
      </c>
      <c r="U85" s="29" t="s">
        <v>1640</v>
      </c>
      <c r="V85" s="46">
        <v>0.0453</v>
      </c>
      <c r="W85" s="34">
        <v>0.8032</v>
      </c>
      <c r="X85" s="34"/>
      <c r="Y85" s="29" t="s">
        <v>1018</v>
      </c>
      <c r="Z85" s="29" t="s">
        <v>1641</v>
      </c>
      <c r="AA85" s="29" t="s">
        <v>1642</v>
      </c>
      <c r="AB85" s="29" t="s">
        <v>1643</v>
      </c>
      <c r="AC85" s="29" t="s">
        <v>37</v>
      </c>
      <c r="AD85" s="29" t="s">
        <v>1018</v>
      </c>
      <c r="AE85" s="29"/>
      <c r="AF85" s="29"/>
      <c r="AG85" s="2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c r="EG85" s="9"/>
      <c r="EH85" s="9"/>
      <c r="EI85" s="9"/>
      <c r="EJ85" s="9"/>
      <c r="EK85" s="9"/>
      <c r="EL85" s="9"/>
      <c r="EM85" s="9"/>
      <c r="EN85" s="9"/>
      <c r="EO85" s="9"/>
      <c r="EP85" s="9"/>
      <c r="EQ85" s="9"/>
      <c r="ER85" s="9"/>
      <c r="ES85" s="9"/>
      <c r="ET85" s="9"/>
      <c r="EU85" s="9"/>
      <c r="EV85" s="9"/>
      <c r="EW85" s="9"/>
      <c r="EX85" s="9"/>
      <c r="EY85" s="9"/>
      <c r="EZ85" s="9"/>
      <c r="FA85" s="9"/>
      <c r="FB85" s="9"/>
      <c r="FC85" s="9"/>
      <c r="FD85" s="9"/>
      <c r="FE85" s="9"/>
      <c r="FF85" s="9"/>
      <c r="FG85" s="9"/>
      <c r="FH85" s="9"/>
      <c r="FI85" s="9"/>
      <c r="FJ85" s="9"/>
      <c r="FK85" s="9"/>
      <c r="FL85" s="9"/>
      <c r="FM85" s="9"/>
      <c r="FN85" s="9"/>
      <c r="FO85" s="9"/>
      <c r="FP85" s="9"/>
      <c r="FQ85" s="9"/>
      <c r="FR85" s="9"/>
      <c r="FS85" s="9"/>
      <c r="FT85" s="9"/>
      <c r="FU85" s="9"/>
      <c r="FV85" s="9"/>
      <c r="FW85" s="9"/>
      <c r="FX85" s="9"/>
      <c r="FY85" s="9"/>
      <c r="FZ85" s="9"/>
      <c r="GA85" s="9"/>
      <c r="GB85" s="9"/>
      <c r="GC85" s="9"/>
      <c r="GD85" s="9"/>
      <c r="GE85" s="9"/>
      <c r="GF85" s="9"/>
      <c r="GG85" s="9"/>
      <c r="GH85" s="9"/>
      <c r="GI85" s="9"/>
      <c r="GJ85" s="9"/>
      <c r="GK85" s="9"/>
      <c r="GL85" s="9"/>
      <c r="GM85" s="9"/>
      <c r="GN85" s="9"/>
      <c r="GO85" s="9"/>
      <c r="GP85" s="9"/>
      <c r="GQ85" s="9"/>
      <c r="GR85" s="9"/>
      <c r="GS85" s="9"/>
      <c r="GT85" s="9"/>
      <c r="GU85" s="9"/>
      <c r="GV85" s="9"/>
      <c r="GW85" s="9"/>
      <c r="GX85" s="9"/>
      <c r="GY85" s="9"/>
      <c r="GZ85" s="9"/>
      <c r="HA85" s="9"/>
      <c r="HB85" s="9"/>
      <c r="HC85" s="9"/>
      <c r="HD85" s="9"/>
      <c r="HE85" s="9"/>
      <c r="HF85" s="9"/>
      <c r="HG85" s="9"/>
      <c r="HH85" s="9"/>
      <c r="HI85" s="9"/>
      <c r="HJ85" s="9"/>
      <c r="HK85" s="9"/>
      <c r="HL85" s="9"/>
      <c r="HM85" s="9"/>
      <c r="HN85" s="9"/>
      <c r="HO85" s="9"/>
      <c r="HP85" s="9"/>
      <c r="HQ85" s="9"/>
      <c r="HR85" s="9"/>
      <c r="HS85" s="9"/>
      <c r="HT85" s="9"/>
      <c r="HU85" s="9"/>
      <c r="HV85" s="9"/>
      <c r="HW85" s="9"/>
      <c r="HX85" s="9"/>
      <c r="HY85" s="9"/>
      <c r="HZ85" s="9"/>
      <c r="IA85" s="9"/>
      <c r="IB85" s="9"/>
      <c r="IC85" s="9"/>
      <c r="ID85" s="9"/>
      <c r="IE85" s="9"/>
      <c r="IF85" s="9"/>
      <c r="IG85" s="9"/>
      <c r="IH85" s="9"/>
      <c r="II85" s="9"/>
      <c r="IJ85" s="12"/>
      <c r="IK85" s="12"/>
      <c r="IL85" s="12"/>
      <c r="IM85" s="12"/>
      <c r="IN85" s="12"/>
      <c r="IO85" s="12"/>
      <c r="IP85" s="12"/>
      <c r="IQ85" s="12"/>
      <c r="IR85" s="12"/>
      <c r="IS85" s="12"/>
      <c r="IT85" s="12"/>
      <c r="IU85" s="12"/>
      <c r="IV85" s="12"/>
      <c r="IW85" s="12"/>
      <c r="IX85" s="12"/>
      <c r="IY85" s="12"/>
      <c r="IZ85" s="12"/>
      <c r="JA85" s="12"/>
      <c r="JB85" s="12"/>
      <c r="JC85" s="12"/>
      <c r="JD85" s="12"/>
      <c r="JE85" s="12"/>
      <c r="JF85" s="12"/>
      <c r="JG85" s="12"/>
      <c r="JH85" s="12"/>
      <c r="JI85" s="12"/>
      <c r="JJ85" s="12"/>
      <c r="JK85" s="12"/>
      <c r="JL85" s="12"/>
      <c r="JM85" s="12"/>
      <c r="JN85" s="12"/>
      <c r="JO85" s="12"/>
      <c r="JP85" s="12"/>
      <c r="JQ85" s="12"/>
      <c r="JR85" s="12"/>
      <c r="JS85" s="12"/>
      <c r="JT85" s="12"/>
      <c r="JU85" s="12"/>
      <c r="JV85" s="12"/>
      <c r="JW85" s="12"/>
      <c r="JX85" s="12"/>
      <c r="JY85" s="12"/>
      <c r="JZ85" s="12"/>
      <c r="KA85" s="12"/>
      <c r="KB85" s="12"/>
      <c r="KC85" s="12"/>
      <c r="KD85" s="12"/>
      <c r="KE85" s="12"/>
      <c r="KF85" s="12"/>
      <c r="KG85" s="12"/>
      <c r="KH85" s="12"/>
      <c r="KI85" s="12"/>
      <c r="KJ85" s="12"/>
      <c r="KK85" s="12"/>
      <c r="KL85" s="12"/>
      <c r="KM85" s="12"/>
      <c r="KN85" s="12"/>
      <c r="KO85" s="12"/>
      <c r="KP85" s="12"/>
      <c r="KQ85" s="12"/>
      <c r="KR85" s="12"/>
      <c r="KS85" s="12"/>
      <c r="KT85" s="12"/>
      <c r="KU85" s="12"/>
      <c r="KV85" s="12"/>
      <c r="KW85" s="9"/>
      <c r="KX85" s="9"/>
    </row>
    <row r="86" s="10" customFormat="1" customHeight="1" spans="1:310">
      <c r="A86" s="28">
        <v>45839</v>
      </c>
      <c r="B86" s="29" t="s">
        <v>1022</v>
      </c>
      <c r="C86" s="29" t="s">
        <v>1032</v>
      </c>
      <c r="D86" s="29" t="s">
        <v>134</v>
      </c>
      <c r="E86" s="29" t="s">
        <v>903</v>
      </c>
      <c r="F86" s="29" t="s">
        <v>1644</v>
      </c>
      <c r="G86" s="29" t="s">
        <v>1645</v>
      </c>
      <c r="H86" s="29">
        <v>7</v>
      </c>
      <c r="I86" s="29">
        <v>2022</v>
      </c>
      <c r="J86" s="29" t="s">
        <v>1636</v>
      </c>
      <c r="K86" s="29" t="s">
        <v>1646</v>
      </c>
      <c r="L86" s="29">
        <v>9</v>
      </c>
      <c r="M86" s="29" t="s">
        <v>1647</v>
      </c>
      <c r="N86" s="29" t="s">
        <v>1648</v>
      </c>
      <c r="O86" s="29" t="s">
        <v>1649</v>
      </c>
      <c r="P86" s="29" t="s">
        <v>1016</v>
      </c>
      <c r="Q86" s="29" t="s">
        <v>1018</v>
      </c>
      <c r="R86" s="29" t="s">
        <v>1017</v>
      </c>
      <c r="S86" s="29">
        <v>249.32</v>
      </c>
      <c r="T86" s="29">
        <v>23</v>
      </c>
      <c r="U86" s="29" t="s">
        <v>1533</v>
      </c>
      <c r="V86" s="46">
        <f>T86/S86</f>
        <v>0.0922509225092251</v>
      </c>
      <c r="W86" s="34"/>
      <c r="X86" s="34" t="s">
        <v>1650</v>
      </c>
      <c r="Y86" s="29" t="s">
        <v>1018</v>
      </c>
      <c r="Z86" s="29" t="s">
        <v>1651</v>
      </c>
      <c r="AA86" s="29" t="s">
        <v>1652</v>
      </c>
      <c r="AB86" s="29" t="s">
        <v>1653</v>
      </c>
      <c r="AC86" s="29" t="s">
        <v>1654</v>
      </c>
      <c r="AD86" s="29" t="s">
        <v>1018</v>
      </c>
      <c r="AE86" s="29"/>
      <c r="AF86" s="29"/>
      <c r="AG86" s="2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c r="EO86" s="9"/>
      <c r="EP86" s="9"/>
      <c r="EQ86" s="9"/>
      <c r="ER86" s="9"/>
      <c r="ES86" s="9"/>
      <c r="ET86" s="9"/>
      <c r="EU86" s="9"/>
      <c r="EV86" s="9"/>
      <c r="EW86" s="9"/>
      <c r="EX86" s="9"/>
      <c r="EY86" s="9"/>
      <c r="EZ86" s="9"/>
      <c r="FA86" s="9"/>
      <c r="FB86" s="9"/>
      <c r="FC86" s="9"/>
      <c r="FD86" s="9"/>
      <c r="FE86" s="9"/>
      <c r="FF86" s="9"/>
      <c r="FG86" s="9"/>
      <c r="FH86" s="9"/>
      <c r="FI86" s="9"/>
      <c r="FJ86" s="9"/>
      <c r="FK86" s="9"/>
      <c r="FL86" s="9"/>
      <c r="FM86" s="9"/>
      <c r="FN86" s="9"/>
      <c r="FO86" s="9"/>
      <c r="FP86" s="9"/>
      <c r="FQ86" s="9"/>
      <c r="FR86" s="9"/>
      <c r="FS86" s="9"/>
      <c r="FT86" s="9"/>
      <c r="FU86" s="9"/>
      <c r="FV86" s="9"/>
      <c r="FW86" s="9"/>
      <c r="FX86" s="9"/>
      <c r="FY86" s="9"/>
      <c r="FZ86" s="9"/>
      <c r="GA86" s="9"/>
      <c r="GB86" s="9"/>
      <c r="GC86" s="9"/>
      <c r="GD86" s="9"/>
      <c r="GE86" s="9"/>
      <c r="GF86" s="9"/>
      <c r="GG86" s="9"/>
      <c r="GH86" s="9"/>
      <c r="GI86" s="9"/>
      <c r="GJ86" s="9"/>
      <c r="GK86" s="9"/>
      <c r="GL86" s="9"/>
      <c r="GM86" s="9"/>
      <c r="GN86" s="9"/>
      <c r="GO86" s="9"/>
      <c r="GP86" s="9"/>
      <c r="GQ86" s="9"/>
      <c r="GR86" s="9"/>
      <c r="GS86" s="9"/>
      <c r="GT86" s="9"/>
      <c r="GU86" s="9"/>
      <c r="GV86" s="9"/>
      <c r="GW86" s="9"/>
      <c r="GX86" s="9"/>
      <c r="GY86" s="9"/>
      <c r="GZ86" s="9"/>
      <c r="HA86" s="9"/>
      <c r="HB86" s="9"/>
      <c r="HC86" s="9"/>
      <c r="HD86" s="9"/>
      <c r="HE86" s="9"/>
      <c r="HF86" s="9"/>
      <c r="HG86" s="9"/>
      <c r="HH86" s="9"/>
      <c r="HI86" s="9"/>
      <c r="HJ86" s="9"/>
      <c r="HK86" s="9"/>
      <c r="HL86" s="9"/>
      <c r="HM86" s="9"/>
      <c r="HN86" s="9"/>
      <c r="HO86" s="9"/>
      <c r="HP86" s="9"/>
      <c r="HQ86" s="9"/>
      <c r="HR86" s="9"/>
      <c r="HS86" s="9"/>
      <c r="HT86" s="9"/>
      <c r="HU86" s="9"/>
      <c r="HV86" s="9"/>
      <c r="HW86" s="9"/>
      <c r="HX86" s="9"/>
      <c r="HY86" s="9"/>
      <c r="HZ86" s="9"/>
      <c r="IA86" s="9"/>
      <c r="IB86" s="9"/>
      <c r="IC86" s="9"/>
      <c r="ID86" s="9"/>
      <c r="IE86" s="9"/>
      <c r="IF86" s="9"/>
      <c r="IG86" s="9"/>
      <c r="IH86" s="9"/>
      <c r="II86" s="9"/>
      <c r="IJ86" s="12"/>
      <c r="IK86" s="12"/>
      <c r="IL86" s="12"/>
      <c r="IM86" s="12"/>
      <c r="IN86" s="12"/>
      <c r="IO86" s="12"/>
      <c r="IP86" s="12"/>
      <c r="IQ86" s="12"/>
      <c r="IR86" s="12"/>
      <c r="IS86" s="12"/>
      <c r="IT86" s="12"/>
      <c r="IU86" s="12"/>
      <c r="IV86" s="12"/>
      <c r="IW86" s="12"/>
      <c r="IX86" s="12"/>
      <c r="IY86" s="12"/>
      <c r="IZ86" s="12"/>
      <c r="JA86" s="12"/>
      <c r="JB86" s="12"/>
      <c r="JC86" s="12"/>
      <c r="JD86" s="12"/>
      <c r="JE86" s="12"/>
      <c r="JF86" s="12"/>
      <c r="JG86" s="12"/>
      <c r="JH86" s="12"/>
      <c r="JI86" s="12"/>
      <c r="JJ86" s="12"/>
      <c r="JK86" s="12"/>
      <c r="JL86" s="12"/>
      <c r="JM86" s="12"/>
      <c r="JN86" s="12"/>
      <c r="JO86" s="12"/>
      <c r="JP86" s="12"/>
      <c r="JQ86" s="12"/>
      <c r="JR86" s="12"/>
      <c r="JS86" s="12"/>
      <c r="JT86" s="12"/>
      <c r="JU86" s="12"/>
      <c r="JV86" s="12"/>
      <c r="JW86" s="12"/>
      <c r="JX86" s="12"/>
      <c r="JY86" s="12"/>
      <c r="JZ86" s="12"/>
      <c r="KA86" s="12"/>
      <c r="KB86" s="12"/>
      <c r="KC86" s="12"/>
      <c r="KD86" s="12"/>
      <c r="KE86" s="12"/>
      <c r="KF86" s="12"/>
      <c r="KG86" s="12"/>
      <c r="KH86" s="12"/>
      <c r="KI86" s="12"/>
      <c r="KJ86" s="12"/>
      <c r="KK86" s="12"/>
      <c r="KL86" s="12"/>
      <c r="KM86" s="12"/>
      <c r="KN86" s="12"/>
      <c r="KO86" s="12"/>
      <c r="KP86" s="12"/>
      <c r="KQ86" s="12"/>
      <c r="KR86" s="12"/>
      <c r="KS86" s="12"/>
      <c r="KT86" s="12"/>
      <c r="KU86" s="12"/>
      <c r="KV86" s="12"/>
      <c r="KW86" s="9"/>
      <c r="KX86" s="9"/>
    </row>
    <row r="87" s="9" customFormat="1" customHeight="1" spans="1:310">
      <c r="A87" s="28">
        <v>45839</v>
      </c>
      <c r="B87" s="29" t="s">
        <v>1022</v>
      </c>
      <c r="C87" s="29" t="s">
        <v>1032</v>
      </c>
      <c r="D87" s="29" t="s">
        <v>134</v>
      </c>
      <c r="E87" s="29" t="s">
        <v>903</v>
      </c>
      <c r="F87" s="29" t="s">
        <v>1655</v>
      </c>
      <c r="G87" s="29" t="s">
        <v>1656</v>
      </c>
      <c r="H87" s="29">
        <v>7</v>
      </c>
      <c r="I87" s="29">
        <v>2022</v>
      </c>
      <c r="J87" s="45" t="s">
        <v>1657</v>
      </c>
      <c r="K87" s="45" t="s">
        <v>1658</v>
      </c>
      <c r="L87" s="29">
        <v>8</v>
      </c>
      <c r="M87" s="45">
        <v>45875</v>
      </c>
      <c r="N87" s="45">
        <v>46239</v>
      </c>
      <c r="O87" s="29" t="s">
        <v>1659</v>
      </c>
      <c r="P87" s="29" t="s">
        <v>1018</v>
      </c>
      <c r="Q87" s="29" t="s">
        <v>1018</v>
      </c>
      <c r="R87" s="29" t="s">
        <v>1017</v>
      </c>
      <c r="S87" s="29">
        <v>104.6</v>
      </c>
      <c r="T87" s="29">
        <v>13</v>
      </c>
      <c r="U87" s="29" t="s">
        <v>1660</v>
      </c>
      <c r="V87" s="46">
        <f>T87/S87</f>
        <v>0.124282982791587</v>
      </c>
      <c r="W87" s="46"/>
      <c r="X87" s="34" t="s">
        <v>1661</v>
      </c>
      <c r="Y87" s="29" t="s">
        <v>1018</v>
      </c>
      <c r="Z87" s="29" t="s">
        <v>1175</v>
      </c>
      <c r="AA87" s="29" t="s">
        <v>1662</v>
      </c>
      <c r="AB87" s="29" t="s">
        <v>1663</v>
      </c>
      <c r="AC87" s="29" t="s">
        <v>37</v>
      </c>
      <c r="AD87" s="29" t="s">
        <v>1018</v>
      </c>
      <c r="AE87" s="29"/>
      <c r="AF87" s="29"/>
      <c r="AG87" s="78"/>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c r="GS87" s="12"/>
      <c r="GT87" s="12"/>
      <c r="GU87" s="12"/>
      <c r="GV87" s="12"/>
      <c r="GW87" s="12"/>
      <c r="GX87" s="12"/>
      <c r="GY87" s="12"/>
      <c r="GZ87" s="12"/>
      <c r="HA87" s="12"/>
      <c r="HB87" s="12"/>
      <c r="HC87" s="12"/>
      <c r="HD87" s="12"/>
      <c r="HE87" s="12"/>
      <c r="HF87" s="12"/>
      <c r="HG87" s="12"/>
      <c r="HH87" s="12"/>
      <c r="HI87" s="12"/>
      <c r="HJ87" s="12"/>
      <c r="HK87" s="12"/>
      <c r="HL87" s="12"/>
      <c r="HM87" s="12"/>
      <c r="HN87" s="12"/>
      <c r="HO87" s="12"/>
      <c r="HP87" s="12"/>
      <c r="HQ87" s="12"/>
      <c r="HR87" s="12"/>
      <c r="HS87" s="12"/>
      <c r="HT87" s="12"/>
      <c r="HU87" s="12"/>
      <c r="HV87" s="12"/>
      <c r="HW87" s="12"/>
      <c r="HX87" s="12"/>
      <c r="HY87" s="12"/>
      <c r="HZ87" s="12"/>
      <c r="IA87" s="12"/>
      <c r="IB87" s="12"/>
      <c r="IC87" s="12"/>
      <c r="ID87" s="12"/>
      <c r="IE87" s="12"/>
      <c r="IF87" s="12"/>
      <c r="IG87" s="12"/>
      <c r="IH87" s="12"/>
      <c r="II87" s="12"/>
    </row>
    <row r="88" s="11" customFormat="1" customHeight="1" spans="1:310">
      <c r="A88" s="28">
        <v>45839</v>
      </c>
      <c r="B88" s="32" t="s">
        <v>1022</v>
      </c>
      <c r="C88" s="32" t="s">
        <v>1032</v>
      </c>
      <c r="D88" s="32" t="s">
        <v>134</v>
      </c>
      <c r="E88" s="32" t="s">
        <v>903</v>
      </c>
      <c r="F88" s="29" t="s">
        <v>1664</v>
      </c>
      <c r="G88" s="29" t="s">
        <v>1665</v>
      </c>
      <c r="H88" s="32">
        <v>7</v>
      </c>
      <c r="I88" s="32">
        <v>2022</v>
      </c>
      <c r="J88" s="32" t="s">
        <v>1452</v>
      </c>
      <c r="K88" s="32" t="s">
        <v>1637</v>
      </c>
      <c r="L88" s="32">
        <v>9</v>
      </c>
      <c r="M88" s="29" t="s">
        <v>1666</v>
      </c>
      <c r="N88" s="29" t="s">
        <v>1667</v>
      </c>
      <c r="O88" s="32" t="s">
        <v>1668</v>
      </c>
      <c r="P88" s="32" t="s">
        <v>1016</v>
      </c>
      <c r="Q88" s="32" t="s">
        <v>1018</v>
      </c>
      <c r="R88" s="32" t="s">
        <v>1017</v>
      </c>
      <c r="S88" s="32">
        <v>433.3</v>
      </c>
      <c r="T88" s="32">
        <v>21.65</v>
      </c>
      <c r="U88" s="32" t="s">
        <v>1669</v>
      </c>
      <c r="V88" s="33">
        <f>T88/S88</f>
        <v>0.0499653819524579</v>
      </c>
      <c r="W88" s="39"/>
      <c r="X88" s="39" t="s">
        <v>1670</v>
      </c>
      <c r="Y88" s="32" t="s">
        <v>1018</v>
      </c>
      <c r="Z88" s="32" t="s">
        <v>1651</v>
      </c>
      <c r="AA88" s="32" t="s">
        <v>1671</v>
      </c>
      <c r="AB88" s="40" t="s">
        <v>1672</v>
      </c>
      <c r="AC88" s="32" t="s">
        <v>37</v>
      </c>
      <c r="AD88" s="32" t="s">
        <v>1018</v>
      </c>
      <c r="AE88" s="32"/>
      <c r="AF88" s="32"/>
      <c r="AG88" s="32"/>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c r="DV88" s="13"/>
      <c r="DW88" s="13"/>
      <c r="DX88" s="13"/>
      <c r="DY88" s="13"/>
      <c r="DZ88" s="13"/>
      <c r="EA88" s="13"/>
      <c r="EB88" s="13"/>
      <c r="EC88" s="13"/>
      <c r="ED88" s="13"/>
      <c r="EE88" s="13"/>
      <c r="EF88" s="13"/>
      <c r="EG88" s="13"/>
      <c r="EH88" s="13"/>
      <c r="EI88" s="13"/>
      <c r="EJ88" s="13"/>
      <c r="EK88" s="13"/>
      <c r="EL88" s="13"/>
      <c r="EM88" s="13"/>
      <c r="EN88" s="13"/>
      <c r="EO88" s="13"/>
      <c r="EP88" s="13"/>
      <c r="EQ88" s="13"/>
      <c r="ER88" s="13"/>
      <c r="ES88" s="13"/>
      <c r="ET88" s="13"/>
      <c r="EU88" s="13"/>
      <c r="EV88" s="13"/>
      <c r="EW88" s="13"/>
      <c r="EX88" s="13"/>
      <c r="EY88" s="13"/>
      <c r="EZ88" s="13"/>
      <c r="FA88" s="13"/>
      <c r="FB88" s="13"/>
      <c r="FC88" s="13"/>
      <c r="FD88" s="13"/>
      <c r="FE88" s="13"/>
      <c r="FF88" s="13"/>
      <c r="FG88" s="13"/>
      <c r="FH88" s="13"/>
      <c r="FI88" s="13"/>
      <c r="FJ88" s="13"/>
      <c r="FK88" s="13"/>
      <c r="FL88" s="13"/>
      <c r="FM88" s="13"/>
      <c r="FN88" s="13"/>
      <c r="FO88" s="13"/>
      <c r="FP88" s="13"/>
      <c r="FQ88" s="13"/>
      <c r="FR88" s="13"/>
      <c r="FS88" s="13"/>
      <c r="FT88" s="13"/>
      <c r="FU88" s="13"/>
      <c r="FV88" s="13"/>
      <c r="FW88" s="13"/>
      <c r="FX88" s="13"/>
      <c r="FY88" s="13"/>
      <c r="FZ88" s="13"/>
      <c r="GA88" s="13"/>
      <c r="GB88" s="13"/>
      <c r="GC88" s="13"/>
      <c r="GD88" s="13"/>
      <c r="GE88" s="13"/>
      <c r="GF88" s="13"/>
      <c r="GG88" s="13"/>
      <c r="GH88" s="13"/>
      <c r="GI88" s="13"/>
      <c r="GJ88" s="13"/>
      <c r="GK88" s="13"/>
      <c r="GL88" s="13"/>
      <c r="GM88" s="13"/>
      <c r="GN88" s="13"/>
      <c r="GO88" s="13"/>
      <c r="GP88" s="13"/>
      <c r="GQ88" s="13"/>
      <c r="GR88" s="13"/>
      <c r="GS88" s="13"/>
      <c r="GT88" s="13"/>
      <c r="GU88" s="13"/>
      <c r="GV88" s="13"/>
      <c r="GW88" s="13"/>
      <c r="GX88" s="13"/>
      <c r="GY88" s="13"/>
      <c r="GZ88" s="13"/>
      <c r="HA88" s="13"/>
      <c r="HB88" s="13"/>
      <c r="HC88" s="13"/>
      <c r="HD88" s="13"/>
      <c r="HE88" s="13"/>
      <c r="HF88" s="13"/>
      <c r="HG88" s="13"/>
      <c r="HH88" s="13"/>
      <c r="HI88" s="13"/>
      <c r="HJ88" s="13"/>
      <c r="HK88" s="13"/>
      <c r="HL88" s="13"/>
      <c r="HM88" s="13"/>
      <c r="HN88" s="13"/>
      <c r="HO88" s="13"/>
      <c r="HP88" s="13"/>
      <c r="HQ88" s="13"/>
      <c r="HR88" s="13"/>
      <c r="HS88" s="13"/>
      <c r="HT88" s="13"/>
      <c r="HU88" s="13"/>
      <c r="HV88" s="13"/>
      <c r="HW88" s="13"/>
      <c r="HX88" s="13"/>
      <c r="HY88" s="13"/>
      <c r="HZ88" s="13"/>
      <c r="IA88" s="13"/>
      <c r="IB88" s="13"/>
      <c r="IC88" s="13"/>
      <c r="ID88" s="13"/>
      <c r="IE88" s="13"/>
      <c r="IF88" s="13"/>
      <c r="IG88" s="13"/>
      <c r="IH88" s="13"/>
      <c r="II88" s="10"/>
      <c r="IJ88" s="10"/>
      <c r="IK88" s="10"/>
      <c r="IL88" s="10"/>
      <c r="IM88" s="10"/>
      <c r="IN88" s="10"/>
      <c r="IO88" s="10"/>
      <c r="IP88" s="10"/>
      <c r="IQ88" s="10"/>
      <c r="IR88" s="10"/>
      <c r="IS88" s="10"/>
      <c r="IT88" s="10"/>
      <c r="IU88" s="10"/>
      <c r="IV88" s="10"/>
      <c r="IW88" s="10"/>
      <c r="IX88" s="10"/>
      <c r="IY88" s="10"/>
      <c r="IZ88" s="10"/>
      <c r="JA88" s="10"/>
      <c r="JB88" s="10"/>
      <c r="JC88" s="10"/>
      <c r="JD88" s="10"/>
      <c r="JE88" s="10"/>
      <c r="JF88" s="10"/>
      <c r="JG88" s="10"/>
      <c r="JH88" s="10"/>
      <c r="JI88" s="10"/>
      <c r="JJ88" s="10"/>
      <c r="JK88" s="10"/>
      <c r="JL88" s="10"/>
      <c r="JM88" s="10"/>
      <c r="JN88" s="10"/>
      <c r="JO88" s="10"/>
      <c r="JP88" s="10"/>
      <c r="JQ88" s="10"/>
      <c r="JR88" s="10"/>
      <c r="JS88" s="10"/>
      <c r="JT88" s="10"/>
      <c r="JU88" s="10"/>
      <c r="JV88" s="10"/>
      <c r="JW88" s="10"/>
      <c r="JX88" s="10"/>
      <c r="JY88" s="10"/>
      <c r="JZ88" s="10"/>
      <c r="KA88" s="10"/>
      <c r="KB88" s="10"/>
      <c r="KC88" s="10"/>
      <c r="KD88" s="10"/>
      <c r="KE88" s="10"/>
      <c r="KF88" s="10"/>
      <c r="KG88" s="10"/>
      <c r="KH88" s="10"/>
      <c r="KI88" s="10"/>
      <c r="KJ88" s="10"/>
      <c r="KK88" s="10"/>
      <c r="KL88" s="10"/>
      <c r="KM88" s="10"/>
      <c r="KN88" s="10"/>
      <c r="KO88" s="10"/>
      <c r="KP88" s="10"/>
      <c r="KQ88" s="10"/>
      <c r="KR88" s="10"/>
      <c r="KS88" s="10"/>
      <c r="KT88" s="10"/>
      <c r="KU88" s="10"/>
      <c r="KV88" s="10"/>
      <c r="KW88" s="12"/>
      <c r="KX88" s="12"/>
    </row>
    <row r="89" s="9" customFormat="1" customHeight="1" spans="1:310">
      <c r="A89" s="28">
        <v>45839</v>
      </c>
      <c r="B89" s="29" t="s">
        <v>1022</v>
      </c>
      <c r="C89" s="32" t="s">
        <v>1007</v>
      </c>
      <c r="D89" s="32" t="s">
        <v>134</v>
      </c>
      <c r="E89" s="32" t="s">
        <v>1445</v>
      </c>
      <c r="F89" s="32" t="s">
        <v>1673</v>
      </c>
      <c r="G89" s="32" t="s">
        <v>1674</v>
      </c>
      <c r="H89" s="32">
        <v>7</v>
      </c>
      <c r="I89" s="49">
        <v>2022</v>
      </c>
      <c r="J89" s="36" t="s">
        <v>1675</v>
      </c>
      <c r="K89" s="36" t="s">
        <v>1676</v>
      </c>
      <c r="L89" s="29">
        <v>8</v>
      </c>
      <c r="M89" s="45">
        <v>45889</v>
      </c>
      <c r="N89" s="45">
        <v>46253</v>
      </c>
      <c r="O89" s="32" t="s">
        <v>1677</v>
      </c>
      <c r="P89" s="32" t="s">
        <v>1018</v>
      </c>
      <c r="Q89" s="32" t="s">
        <v>1018</v>
      </c>
      <c r="R89" s="32" t="s">
        <v>1039</v>
      </c>
      <c r="S89" s="38">
        <v>271.8</v>
      </c>
      <c r="T89" s="32">
        <v>15</v>
      </c>
      <c r="U89" s="32" t="s">
        <v>1157</v>
      </c>
      <c r="V89" s="33">
        <f>T89/S89</f>
        <v>0.0551876379690949</v>
      </c>
      <c r="W89" s="39"/>
      <c r="X89" s="39"/>
      <c r="Y89" s="32" t="s">
        <v>1018</v>
      </c>
      <c r="Z89" s="32" t="s">
        <v>1678</v>
      </c>
      <c r="AA89" s="32" t="s">
        <v>1679</v>
      </c>
      <c r="AB89" s="40" t="s">
        <v>1680</v>
      </c>
      <c r="AC89" s="32" t="s">
        <v>1166</v>
      </c>
      <c r="AD89" s="32" t="s">
        <v>1018</v>
      </c>
      <c r="AE89" s="32"/>
      <c r="AF89" s="32"/>
      <c r="AG89" s="32"/>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GY89" s="11"/>
      <c r="GZ89" s="11"/>
      <c r="HA89" s="11"/>
      <c r="HB89" s="11"/>
      <c r="HC89" s="11"/>
      <c r="HD89" s="11"/>
      <c r="HE89" s="11"/>
      <c r="HF89" s="11"/>
      <c r="HG89" s="11"/>
      <c r="HH89" s="11"/>
      <c r="HI89" s="11"/>
      <c r="HJ89" s="11"/>
      <c r="HK89" s="11"/>
      <c r="HL89" s="11"/>
      <c r="HM89" s="11"/>
      <c r="HN89" s="11"/>
      <c r="HO89" s="11"/>
      <c r="HP89" s="11"/>
      <c r="HQ89" s="11"/>
      <c r="HR89" s="11"/>
      <c r="HS89" s="11"/>
      <c r="HT89" s="11"/>
      <c r="HU89" s="11"/>
      <c r="HV89" s="11"/>
      <c r="HW89" s="11"/>
      <c r="HX89" s="11"/>
      <c r="HY89" s="11"/>
      <c r="HZ89" s="11"/>
      <c r="IA89" s="11"/>
      <c r="IB89" s="11"/>
      <c r="IC89" s="11"/>
      <c r="ID89" s="11"/>
      <c r="IE89" s="11"/>
      <c r="IF89" s="11"/>
      <c r="IG89" s="11"/>
      <c r="IH89" s="11"/>
      <c r="II89" s="10"/>
      <c r="IJ89" s="11"/>
      <c r="IK89" s="11"/>
      <c r="IL89" s="11"/>
      <c r="IM89" s="11"/>
      <c r="IN89" s="11"/>
      <c r="IO89" s="11"/>
      <c r="IP89" s="11"/>
      <c r="IQ89" s="11"/>
      <c r="IR89" s="11"/>
      <c r="IS89" s="11"/>
      <c r="IT89" s="11"/>
      <c r="IU89" s="11"/>
      <c r="IV89" s="11"/>
      <c r="IW89" s="11"/>
      <c r="IX89" s="11"/>
      <c r="IY89" s="11"/>
      <c r="IZ89" s="11"/>
      <c r="JA89" s="11"/>
      <c r="JB89" s="11"/>
      <c r="JC89" s="11"/>
      <c r="JD89" s="11"/>
      <c r="JE89" s="11"/>
      <c r="JF89" s="11"/>
      <c r="JG89" s="11"/>
      <c r="JH89" s="11"/>
      <c r="JI89" s="11"/>
      <c r="JJ89" s="11"/>
      <c r="JK89" s="11"/>
      <c r="JL89" s="11"/>
      <c r="JM89" s="11"/>
      <c r="JN89" s="11"/>
      <c r="JO89" s="11"/>
      <c r="JP89" s="11"/>
      <c r="JQ89" s="11"/>
      <c r="JR89" s="11"/>
      <c r="JS89" s="11"/>
      <c r="JT89" s="11"/>
      <c r="JU89" s="11"/>
      <c r="JV89" s="11"/>
      <c r="JW89" s="11"/>
      <c r="JX89" s="11"/>
      <c r="JY89" s="11"/>
      <c r="JZ89" s="11"/>
      <c r="KA89" s="11"/>
      <c r="KB89" s="11"/>
      <c r="KC89" s="11"/>
      <c r="KD89" s="11"/>
      <c r="KE89" s="11"/>
      <c r="KF89" s="11"/>
      <c r="KG89" s="11"/>
      <c r="KH89" s="11"/>
      <c r="KI89" s="11"/>
      <c r="KJ89" s="11"/>
      <c r="KK89" s="11"/>
      <c r="KL89" s="11"/>
      <c r="KM89" s="11"/>
      <c r="KN89" s="11"/>
      <c r="KO89" s="11"/>
      <c r="KP89" s="11"/>
      <c r="KQ89" s="11"/>
      <c r="KR89" s="11"/>
      <c r="KS89" s="11"/>
      <c r="KT89" s="11"/>
      <c r="KU89" s="11"/>
      <c r="KV89" s="11"/>
    </row>
    <row r="90" s="9" customFormat="1" customHeight="1" spans="1:310">
      <c r="A90" s="28">
        <v>45839</v>
      </c>
      <c r="B90" s="29" t="s">
        <v>1006</v>
      </c>
      <c r="C90" s="29" t="s">
        <v>1023</v>
      </c>
      <c r="D90" s="29" t="s">
        <v>1047</v>
      </c>
      <c r="E90" s="29" t="s">
        <v>736</v>
      </c>
      <c r="F90" s="29" t="s">
        <v>736</v>
      </c>
      <c r="G90" s="29" t="s">
        <v>1681</v>
      </c>
      <c r="H90" s="29">
        <v>7</v>
      </c>
      <c r="I90" s="29">
        <v>2025</v>
      </c>
      <c r="J90" s="45" t="s">
        <v>1682</v>
      </c>
      <c r="K90" s="45" t="s">
        <v>1618</v>
      </c>
      <c r="L90" s="29">
        <v>9</v>
      </c>
      <c r="M90" s="45" t="s">
        <v>1683</v>
      </c>
      <c r="N90" s="45" t="s">
        <v>1684</v>
      </c>
      <c r="O90" s="29" t="s">
        <v>1685</v>
      </c>
      <c r="P90" s="29" t="s">
        <v>1018</v>
      </c>
      <c r="Q90" s="29" t="s">
        <v>1016</v>
      </c>
      <c r="R90" s="29"/>
      <c r="S90" s="38">
        <v>720.27</v>
      </c>
      <c r="T90" s="29">
        <v>6.27</v>
      </c>
      <c r="U90" s="29">
        <v>2025.1</v>
      </c>
      <c r="V90" s="46"/>
      <c r="W90" s="46"/>
      <c r="X90" s="34"/>
      <c r="Y90" s="29" t="s">
        <v>1018</v>
      </c>
      <c r="Z90" s="29" t="s">
        <v>1686</v>
      </c>
      <c r="AA90" s="29" t="s">
        <v>378</v>
      </c>
      <c r="AB90" s="29" t="s">
        <v>1687</v>
      </c>
      <c r="AC90" s="29" t="s">
        <v>1688</v>
      </c>
      <c r="AD90" s="29" t="s">
        <v>1018</v>
      </c>
      <c r="AE90" s="29"/>
      <c r="AF90" s="29"/>
      <c r="AG90" s="78"/>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c r="GS90" s="12"/>
      <c r="GT90" s="12"/>
      <c r="GU90" s="12"/>
      <c r="GV90" s="12"/>
      <c r="GW90" s="12"/>
      <c r="GX90" s="12"/>
      <c r="GY90" s="12"/>
      <c r="GZ90" s="12"/>
      <c r="HA90" s="12"/>
      <c r="HB90" s="12"/>
      <c r="HC90" s="12"/>
      <c r="HD90" s="12"/>
      <c r="HE90" s="12"/>
      <c r="HF90" s="12"/>
      <c r="HG90" s="12"/>
      <c r="HH90" s="12"/>
      <c r="HI90" s="12"/>
      <c r="HJ90" s="12"/>
      <c r="HK90" s="12"/>
      <c r="HL90" s="12"/>
      <c r="HM90" s="12"/>
      <c r="HN90" s="12"/>
      <c r="HO90" s="12"/>
      <c r="HP90" s="12"/>
      <c r="HQ90" s="12"/>
      <c r="HR90" s="12"/>
      <c r="HS90" s="12"/>
      <c r="HT90" s="12"/>
      <c r="HU90" s="12"/>
      <c r="HV90" s="12"/>
      <c r="HW90" s="12"/>
      <c r="HX90" s="12"/>
      <c r="HY90" s="12"/>
      <c r="HZ90" s="12"/>
      <c r="IA90" s="12"/>
      <c r="IB90" s="12"/>
      <c r="IC90" s="12"/>
      <c r="ID90" s="12"/>
      <c r="IE90" s="12"/>
      <c r="IF90" s="12"/>
      <c r="IG90" s="12"/>
      <c r="IH90" s="12"/>
      <c r="II90" s="12"/>
      <c r="KW90" s="10"/>
      <c r="KX90" s="10"/>
    </row>
    <row r="91" s="11" customFormat="1" customHeight="1" spans="1:310">
      <c r="A91" s="28">
        <v>45839</v>
      </c>
      <c r="B91" s="29" t="s">
        <v>1022</v>
      </c>
      <c r="C91" s="29" t="s">
        <v>1023</v>
      </c>
      <c r="D91" s="29" t="s">
        <v>134</v>
      </c>
      <c r="E91" s="29" t="s">
        <v>924</v>
      </c>
      <c r="F91" s="29" t="s">
        <v>1689</v>
      </c>
      <c r="G91" s="29" t="s">
        <v>1690</v>
      </c>
      <c r="H91" s="29">
        <v>7</v>
      </c>
      <c r="I91" s="29">
        <v>2022</v>
      </c>
      <c r="J91" s="45" t="s">
        <v>1617</v>
      </c>
      <c r="K91" s="45" t="s">
        <v>1618</v>
      </c>
      <c r="L91" s="29">
        <v>9</v>
      </c>
      <c r="M91" s="45">
        <v>45901</v>
      </c>
      <c r="N91" s="45">
        <v>46265</v>
      </c>
      <c r="O91" s="29">
        <v>69</v>
      </c>
      <c r="P91" s="29" t="s">
        <v>1018</v>
      </c>
      <c r="Q91" s="29" t="s">
        <v>1016</v>
      </c>
      <c r="R91" s="29" t="s">
        <v>1017</v>
      </c>
      <c r="S91" s="29">
        <v>345.4</v>
      </c>
      <c r="T91" s="29">
        <v>22</v>
      </c>
      <c r="U91" s="29" t="s">
        <v>1617</v>
      </c>
      <c r="V91" s="46">
        <f>T91/S91</f>
        <v>0.0636942675159236</v>
      </c>
      <c r="W91" s="46">
        <f>2432/65/O91</f>
        <v>0.542251950947603</v>
      </c>
      <c r="X91" s="34" t="s">
        <v>1691</v>
      </c>
      <c r="Y91" s="29" t="s">
        <v>1018</v>
      </c>
      <c r="Z91" s="29" t="s">
        <v>1692</v>
      </c>
      <c r="AA91" s="29" t="s">
        <v>422</v>
      </c>
      <c r="AB91" s="29" t="s">
        <v>1693</v>
      </c>
      <c r="AC91" s="29" t="s">
        <v>37</v>
      </c>
      <c r="AD91" s="29" t="s">
        <v>1534</v>
      </c>
      <c r="AE91" s="29"/>
      <c r="AF91" s="29"/>
      <c r="AG91" s="50" t="s">
        <v>1081</v>
      </c>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c r="GS91" s="12"/>
      <c r="GT91" s="12"/>
      <c r="GU91" s="12"/>
      <c r="GV91" s="12"/>
      <c r="GW91" s="12"/>
      <c r="GX91" s="12"/>
      <c r="GY91" s="12"/>
      <c r="GZ91" s="12"/>
      <c r="HA91" s="12"/>
      <c r="HB91" s="12"/>
      <c r="HC91" s="12"/>
      <c r="HD91" s="12"/>
      <c r="HE91" s="12"/>
      <c r="HF91" s="12"/>
      <c r="HG91" s="12"/>
      <c r="HH91" s="12"/>
      <c r="HI91" s="12"/>
      <c r="HJ91" s="12"/>
      <c r="HK91" s="12"/>
      <c r="HL91" s="12"/>
      <c r="HM91" s="12"/>
      <c r="HN91" s="12"/>
      <c r="HO91" s="12"/>
      <c r="HP91" s="12"/>
      <c r="HQ91" s="12"/>
      <c r="HR91" s="12"/>
      <c r="HS91" s="12"/>
      <c r="HT91" s="12"/>
      <c r="HU91" s="12"/>
      <c r="HV91" s="12"/>
      <c r="HW91" s="12"/>
      <c r="HX91" s="12"/>
      <c r="HY91" s="12"/>
      <c r="HZ91" s="12"/>
      <c r="IA91" s="12"/>
      <c r="IB91" s="12"/>
      <c r="IC91" s="12"/>
      <c r="ID91" s="12"/>
      <c r="IE91" s="12"/>
      <c r="IF91" s="12"/>
      <c r="IG91" s="12"/>
      <c r="IH91" s="12"/>
      <c r="II91" s="12"/>
      <c r="IJ91" s="9"/>
      <c r="IK91" s="9"/>
      <c r="IL91" s="9"/>
      <c r="IM91" s="9"/>
      <c r="IN91" s="9"/>
      <c r="IO91" s="9"/>
      <c r="IP91" s="9"/>
      <c r="IQ91" s="9"/>
      <c r="IR91" s="9"/>
      <c r="IS91" s="9"/>
      <c r="IT91" s="9"/>
      <c r="IU91" s="9"/>
      <c r="IV91" s="9"/>
      <c r="IW91" s="9"/>
      <c r="IX91" s="9"/>
      <c r="IY91" s="9"/>
      <c r="IZ91" s="9"/>
      <c r="JA91" s="9"/>
      <c r="JB91" s="9"/>
      <c r="JC91" s="9"/>
      <c r="JD91" s="9"/>
      <c r="JE91" s="9"/>
      <c r="JF91" s="9"/>
      <c r="JG91" s="9"/>
      <c r="JH91" s="9"/>
      <c r="JI91" s="9"/>
      <c r="JJ91" s="9"/>
      <c r="JK91" s="9"/>
      <c r="JL91" s="9"/>
      <c r="JM91" s="9"/>
      <c r="JN91" s="9"/>
      <c r="JO91" s="9"/>
      <c r="JP91" s="9"/>
      <c r="JQ91" s="9"/>
      <c r="JR91" s="9"/>
      <c r="JS91" s="9"/>
      <c r="JT91" s="9"/>
      <c r="JU91" s="9"/>
      <c r="JV91" s="9"/>
      <c r="JW91" s="9"/>
      <c r="JX91" s="9"/>
      <c r="JY91" s="9"/>
      <c r="JZ91" s="9"/>
      <c r="KA91" s="9"/>
      <c r="KB91" s="9"/>
      <c r="KC91" s="9"/>
      <c r="KD91" s="9"/>
      <c r="KE91" s="9"/>
      <c r="KF91" s="9"/>
      <c r="KG91" s="9"/>
      <c r="KH91" s="9"/>
      <c r="KI91" s="9"/>
      <c r="KJ91" s="9"/>
      <c r="KK91" s="9"/>
      <c r="KL91" s="9"/>
      <c r="KM91" s="9"/>
      <c r="KN91" s="9"/>
      <c r="KO91" s="9"/>
      <c r="KP91" s="9"/>
      <c r="KQ91" s="9"/>
      <c r="KR91" s="9"/>
      <c r="KS91" s="9"/>
      <c r="KT91" s="9"/>
      <c r="KU91" s="9"/>
      <c r="KV91" s="9"/>
      <c r="KW91" s="9"/>
      <c r="KX91" s="9"/>
    </row>
    <row r="92" s="11" customFormat="1" customHeight="1" spans="1:310">
      <c r="A92" s="28">
        <v>45839</v>
      </c>
      <c r="B92" s="29" t="s">
        <v>1022</v>
      </c>
      <c r="C92" s="29" t="s">
        <v>1023</v>
      </c>
      <c r="D92" s="29" t="s">
        <v>134</v>
      </c>
      <c r="E92" s="29" t="s">
        <v>924</v>
      </c>
      <c r="F92" s="29" t="s">
        <v>1694</v>
      </c>
      <c r="G92" s="29" t="s">
        <v>1695</v>
      </c>
      <c r="H92" s="29">
        <v>7</v>
      </c>
      <c r="I92" s="29">
        <v>2023</v>
      </c>
      <c r="J92" s="29" t="s">
        <v>1636</v>
      </c>
      <c r="K92" s="29" t="s">
        <v>1696</v>
      </c>
      <c r="L92" s="29">
        <v>10</v>
      </c>
      <c r="M92" s="29" t="s">
        <v>1697</v>
      </c>
      <c r="N92" s="29" t="s">
        <v>1698</v>
      </c>
      <c r="O92" s="29">
        <v>90</v>
      </c>
      <c r="P92" s="29" t="s">
        <v>1018</v>
      </c>
      <c r="Q92" s="29" t="s">
        <v>1018</v>
      </c>
      <c r="R92" s="29" t="s">
        <v>1017</v>
      </c>
      <c r="S92" s="29">
        <v>123.8</v>
      </c>
      <c r="T92" s="29">
        <v>8.2719</v>
      </c>
      <c r="U92" s="29">
        <v>2024.04</v>
      </c>
      <c r="V92" s="46">
        <f>T92/S92</f>
        <v>0.0668166397415186</v>
      </c>
      <c r="W92" s="29">
        <v>0.0999636</v>
      </c>
      <c r="X92" s="29" t="s">
        <v>1699</v>
      </c>
      <c r="Y92" s="29" t="s">
        <v>1018</v>
      </c>
      <c r="Z92" s="30" t="s">
        <v>1201</v>
      </c>
      <c r="AA92" s="29" t="s">
        <v>1470</v>
      </c>
      <c r="AB92" s="35">
        <v>0.3</v>
      </c>
      <c r="AC92" s="29" t="s">
        <v>37</v>
      </c>
      <c r="AD92" s="29" t="s">
        <v>1018</v>
      </c>
      <c r="AE92" s="29"/>
      <c r="AF92" s="29"/>
      <c r="AG92" s="2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c r="EO92" s="9"/>
      <c r="EP92" s="9"/>
      <c r="EQ92" s="9"/>
      <c r="ER92" s="9"/>
      <c r="ES92" s="9"/>
      <c r="ET92" s="9"/>
      <c r="EU92" s="9"/>
      <c r="EV92" s="9"/>
      <c r="EW92" s="9"/>
      <c r="EX92" s="9"/>
      <c r="EY92" s="9"/>
      <c r="EZ92" s="9"/>
      <c r="FA92" s="9"/>
      <c r="FB92" s="9"/>
      <c r="FC92" s="9"/>
      <c r="FD92" s="9"/>
      <c r="FE92" s="9"/>
      <c r="FF92" s="9"/>
      <c r="FG92" s="9"/>
      <c r="FH92" s="9"/>
      <c r="FI92" s="9"/>
      <c r="FJ92" s="9"/>
      <c r="FK92" s="9"/>
      <c r="FL92" s="9"/>
      <c r="FM92" s="9"/>
      <c r="FN92" s="9"/>
      <c r="FO92" s="9"/>
      <c r="FP92" s="9"/>
      <c r="FQ92" s="9"/>
      <c r="FR92" s="9"/>
      <c r="FS92" s="9"/>
      <c r="FT92" s="9"/>
      <c r="FU92" s="9"/>
      <c r="FV92" s="9"/>
      <c r="FW92" s="9"/>
      <c r="FX92" s="9"/>
      <c r="FY92" s="9"/>
      <c r="FZ92" s="9"/>
      <c r="GA92" s="9"/>
      <c r="GB92" s="9"/>
      <c r="GC92" s="9"/>
      <c r="GD92" s="9"/>
      <c r="GE92" s="9"/>
      <c r="GF92" s="9"/>
      <c r="GG92" s="9"/>
      <c r="GH92" s="9"/>
      <c r="GI92" s="9"/>
      <c r="GJ92" s="9"/>
      <c r="GK92" s="9"/>
      <c r="GL92" s="9"/>
      <c r="GM92" s="9"/>
      <c r="GN92" s="9"/>
      <c r="GO92" s="9"/>
      <c r="GP92" s="9"/>
      <c r="GQ92" s="9"/>
      <c r="GR92" s="9"/>
      <c r="GS92" s="9"/>
      <c r="GT92" s="9"/>
      <c r="GU92" s="9"/>
      <c r="GV92" s="9"/>
      <c r="GW92" s="9"/>
      <c r="GX92" s="9"/>
      <c r="GY92" s="9"/>
      <c r="GZ92" s="9"/>
      <c r="HA92" s="9"/>
      <c r="HB92" s="9"/>
      <c r="HC92" s="9"/>
      <c r="HD92" s="9"/>
      <c r="HE92" s="9"/>
      <c r="HF92" s="9"/>
      <c r="HG92" s="9"/>
      <c r="HH92" s="9"/>
      <c r="HI92" s="9"/>
      <c r="HJ92" s="9"/>
      <c r="HK92" s="9"/>
      <c r="HL92" s="9"/>
      <c r="HM92" s="9"/>
      <c r="HN92" s="9"/>
      <c r="HO92" s="9"/>
      <c r="HP92" s="9"/>
      <c r="HQ92" s="9"/>
      <c r="HR92" s="9"/>
      <c r="HS92" s="9"/>
      <c r="HT92" s="9"/>
      <c r="HU92" s="9"/>
      <c r="HV92" s="9"/>
      <c r="HW92" s="9"/>
      <c r="HX92" s="9"/>
      <c r="HY92" s="9"/>
      <c r="HZ92" s="9"/>
      <c r="IA92" s="9"/>
      <c r="IB92" s="9"/>
      <c r="IC92" s="9"/>
      <c r="ID92" s="9"/>
      <c r="IE92" s="9"/>
      <c r="IF92" s="9"/>
      <c r="IG92" s="9"/>
      <c r="IH92" s="9"/>
      <c r="II92" s="9"/>
      <c r="IJ92" s="12"/>
      <c r="IK92" s="12"/>
      <c r="IL92" s="12"/>
      <c r="IM92" s="12"/>
      <c r="IN92" s="12"/>
      <c r="IO92" s="12"/>
      <c r="IP92" s="12"/>
      <c r="IQ92" s="12"/>
      <c r="IR92" s="12"/>
      <c r="IS92" s="12"/>
      <c r="IT92" s="12"/>
      <c r="IU92" s="12"/>
      <c r="IV92" s="12"/>
      <c r="IW92" s="12"/>
      <c r="IX92" s="12"/>
      <c r="IY92" s="12"/>
      <c r="IZ92" s="12"/>
      <c r="JA92" s="12"/>
      <c r="JB92" s="12"/>
      <c r="JC92" s="12"/>
      <c r="JD92" s="12"/>
      <c r="JE92" s="12"/>
      <c r="JF92" s="12"/>
      <c r="JG92" s="12"/>
      <c r="JH92" s="12"/>
      <c r="JI92" s="12"/>
      <c r="JJ92" s="12"/>
      <c r="JK92" s="12"/>
      <c r="JL92" s="12"/>
      <c r="JM92" s="12"/>
      <c r="JN92" s="12"/>
      <c r="JO92" s="12"/>
      <c r="JP92" s="12"/>
      <c r="JQ92" s="12"/>
      <c r="JR92" s="12"/>
      <c r="JS92" s="12"/>
      <c r="JT92" s="12"/>
      <c r="JU92" s="12"/>
      <c r="JV92" s="12"/>
      <c r="JW92" s="12"/>
      <c r="JX92" s="12"/>
      <c r="JY92" s="12"/>
      <c r="JZ92" s="12"/>
      <c r="KA92" s="12"/>
      <c r="KB92" s="12"/>
      <c r="KC92" s="12"/>
      <c r="KD92" s="12"/>
      <c r="KE92" s="12"/>
      <c r="KF92" s="12"/>
      <c r="KG92" s="12"/>
      <c r="KH92" s="12"/>
      <c r="KI92" s="12"/>
      <c r="KJ92" s="12"/>
      <c r="KK92" s="12"/>
      <c r="KL92" s="12"/>
      <c r="KM92" s="12"/>
      <c r="KN92" s="12"/>
      <c r="KO92" s="12"/>
      <c r="KP92" s="12"/>
      <c r="KQ92" s="12"/>
      <c r="KR92" s="12"/>
      <c r="KS92" s="12"/>
      <c r="KT92" s="12"/>
      <c r="KU92" s="12"/>
      <c r="KV92" s="12"/>
      <c r="KW92" s="9"/>
      <c r="KX92" s="9"/>
    </row>
    <row r="93" s="11" customFormat="1" customHeight="1" spans="1:310">
      <c r="A93" s="28">
        <v>45839</v>
      </c>
      <c r="B93" s="29" t="s">
        <v>1022</v>
      </c>
      <c r="C93" s="29" t="s">
        <v>1023</v>
      </c>
      <c r="D93" s="29" t="s">
        <v>1047</v>
      </c>
      <c r="E93" s="29" t="s">
        <v>924</v>
      </c>
      <c r="F93" s="29" t="s">
        <v>925</v>
      </c>
      <c r="G93" s="29" t="s">
        <v>926</v>
      </c>
      <c r="H93" s="29">
        <v>7</v>
      </c>
      <c r="I93" s="29">
        <v>2021</v>
      </c>
      <c r="J93" s="45" t="s">
        <v>1617</v>
      </c>
      <c r="K93" s="45" t="s">
        <v>1700</v>
      </c>
      <c r="L93" s="29">
        <v>8</v>
      </c>
      <c r="M93" s="45" t="s">
        <v>1701</v>
      </c>
      <c r="N93" s="45" t="s">
        <v>1702</v>
      </c>
      <c r="O93" s="29" t="s">
        <v>1703</v>
      </c>
      <c r="P93" s="29" t="s">
        <v>1018</v>
      </c>
      <c r="Q93" s="29" t="s">
        <v>1016</v>
      </c>
      <c r="R93" s="29" t="s">
        <v>1017</v>
      </c>
      <c r="S93" s="29">
        <v>846</v>
      </c>
      <c r="T93" s="29">
        <v>113</v>
      </c>
      <c r="U93" s="29" t="s">
        <v>1704</v>
      </c>
      <c r="V93" s="46">
        <v>0.134</v>
      </c>
      <c r="W93" s="46" t="s">
        <v>1068</v>
      </c>
      <c r="X93" s="34" t="s">
        <v>1221</v>
      </c>
      <c r="Y93" s="29" t="s">
        <v>1705</v>
      </c>
      <c r="Z93" s="29" t="s">
        <v>1040</v>
      </c>
      <c r="AA93" s="29" t="s">
        <v>1706</v>
      </c>
      <c r="AB93" s="29" t="s">
        <v>1707</v>
      </c>
      <c r="AC93" s="29" t="s">
        <v>37</v>
      </c>
      <c r="AD93" s="29" t="s">
        <v>1018</v>
      </c>
      <c r="AE93" s="29" t="s">
        <v>1708</v>
      </c>
      <c r="AF93" s="29"/>
      <c r="AG93" s="29"/>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c r="GS93" s="12"/>
      <c r="GT93" s="12"/>
      <c r="GU93" s="12"/>
      <c r="GV93" s="12"/>
      <c r="GW93" s="12"/>
      <c r="GX93" s="12"/>
      <c r="GY93" s="12"/>
      <c r="GZ93" s="12"/>
      <c r="HA93" s="12"/>
      <c r="HB93" s="12"/>
      <c r="HC93" s="12"/>
      <c r="HD93" s="12"/>
      <c r="HE93" s="12"/>
      <c r="HF93" s="12"/>
      <c r="HG93" s="12"/>
      <c r="HH93" s="12"/>
      <c r="HI93" s="12"/>
      <c r="HJ93" s="12"/>
      <c r="HK93" s="12"/>
      <c r="HL93" s="12"/>
      <c r="HM93" s="12"/>
      <c r="HN93" s="12"/>
      <c r="HO93" s="12"/>
      <c r="HP93" s="12"/>
      <c r="HQ93" s="12"/>
      <c r="HR93" s="12"/>
      <c r="HS93" s="12"/>
      <c r="HT93" s="12"/>
      <c r="HU93" s="12"/>
      <c r="HV93" s="12"/>
      <c r="HW93" s="12"/>
      <c r="HX93" s="12"/>
      <c r="HY93" s="12"/>
      <c r="HZ93" s="12"/>
      <c r="IA93" s="12"/>
      <c r="IB93" s="12"/>
      <c r="IC93" s="12"/>
      <c r="ID93" s="12"/>
      <c r="IE93" s="12"/>
      <c r="IF93" s="12"/>
      <c r="IG93" s="12"/>
      <c r="IH93" s="12"/>
      <c r="II93" s="12"/>
      <c r="IJ93" s="9"/>
      <c r="IK93" s="9"/>
      <c r="IL93" s="9"/>
      <c r="IM93" s="9"/>
      <c r="IN93" s="9"/>
      <c r="IO93" s="9"/>
      <c r="IP93" s="9"/>
      <c r="IQ93" s="9"/>
      <c r="IR93" s="9"/>
      <c r="IS93" s="9"/>
      <c r="IT93" s="9"/>
      <c r="IU93" s="9"/>
      <c r="IV93" s="9"/>
      <c r="IW93" s="9"/>
      <c r="IX93" s="9"/>
      <c r="IY93" s="9"/>
      <c r="IZ93" s="9"/>
      <c r="JA93" s="9"/>
      <c r="JB93" s="9"/>
      <c r="JC93" s="9"/>
      <c r="JD93" s="9"/>
      <c r="JE93" s="9"/>
      <c r="JF93" s="9"/>
      <c r="JG93" s="9"/>
      <c r="JH93" s="9"/>
      <c r="JI93" s="9"/>
      <c r="JJ93" s="9"/>
      <c r="JK93" s="9"/>
      <c r="JL93" s="9"/>
      <c r="JM93" s="9"/>
      <c r="JN93" s="9"/>
      <c r="JO93" s="9"/>
      <c r="JP93" s="9"/>
      <c r="JQ93" s="9"/>
      <c r="JR93" s="9"/>
      <c r="JS93" s="9"/>
      <c r="JT93" s="9"/>
      <c r="JU93" s="9"/>
      <c r="JV93" s="9"/>
      <c r="JW93" s="9"/>
      <c r="JX93" s="9"/>
      <c r="JY93" s="9"/>
      <c r="JZ93" s="9"/>
      <c r="KA93" s="9"/>
      <c r="KB93" s="9"/>
      <c r="KC93" s="9"/>
      <c r="KD93" s="9"/>
      <c r="KE93" s="9"/>
      <c r="KF93" s="9"/>
      <c r="KG93" s="9"/>
      <c r="KH93" s="9"/>
      <c r="KI93" s="9"/>
      <c r="KJ93" s="9"/>
      <c r="KK93" s="9"/>
      <c r="KL93" s="9"/>
      <c r="KM93" s="9"/>
      <c r="KN93" s="9"/>
      <c r="KO93" s="9"/>
      <c r="KP93" s="9"/>
      <c r="KQ93" s="9"/>
      <c r="KR93" s="9"/>
      <c r="KS93" s="9"/>
      <c r="KT93" s="9"/>
      <c r="KU93" s="9"/>
      <c r="KV93" s="9"/>
      <c r="KW93" s="9"/>
      <c r="KX93" s="9"/>
    </row>
    <row r="94" s="11" customFormat="1" customHeight="1" spans="1:310">
      <c r="A94" s="28">
        <v>45870</v>
      </c>
      <c r="B94" s="32" t="s">
        <v>1022</v>
      </c>
      <c r="C94" s="32" t="s">
        <v>1057</v>
      </c>
      <c r="D94" s="32" t="s">
        <v>134</v>
      </c>
      <c r="E94" s="32" t="s">
        <v>638</v>
      </c>
      <c r="F94" s="29" t="s">
        <v>1709</v>
      </c>
      <c r="G94" s="29" t="s">
        <v>1710</v>
      </c>
      <c r="H94" s="32">
        <v>8</v>
      </c>
      <c r="I94" s="32">
        <v>2021</v>
      </c>
      <c r="J94" s="32" t="s">
        <v>1711</v>
      </c>
      <c r="K94" s="32" t="s">
        <v>1618</v>
      </c>
      <c r="L94" s="32">
        <v>1</v>
      </c>
      <c r="M94" s="32" t="s">
        <v>1683</v>
      </c>
      <c r="N94" s="32" t="s">
        <v>1012</v>
      </c>
      <c r="O94" s="32">
        <v>150</v>
      </c>
      <c r="P94" s="32" t="s">
        <v>1018</v>
      </c>
      <c r="Q94" s="32" t="s">
        <v>1018</v>
      </c>
      <c r="R94" s="32" t="s">
        <v>1017</v>
      </c>
      <c r="S94" s="38">
        <v>248.65</v>
      </c>
      <c r="T94" s="32">
        <v>52.9</v>
      </c>
      <c r="U94" s="32">
        <v>2024.04</v>
      </c>
      <c r="V94" s="33">
        <f>T94/S94</f>
        <v>0.212748843756284</v>
      </c>
      <c r="W94" s="39">
        <v>0.276</v>
      </c>
      <c r="X94" s="39" t="s">
        <v>1712</v>
      </c>
      <c r="Y94" s="32" t="s">
        <v>1016</v>
      </c>
      <c r="Z94" s="32" t="s">
        <v>1046</v>
      </c>
      <c r="AA94" s="32" t="s">
        <v>1046</v>
      </c>
      <c r="AB94" s="40" t="s">
        <v>1046</v>
      </c>
      <c r="AC94" s="32" t="s">
        <v>1046</v>
      </c>
      <c r="AD94" s="32" t="s">
        <v>1046</v>
      </c>
      <c r="AE94" s="32"/>
      <c r="AF94" s="32"/>
      <c r="AG94" s="32" t="s">
        <v>1046</v>
      </c>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c r="FM94" s="10"/>
      <c r="FN94" s="10"/>
      <c r="FO94" s="10"/>
      <c r="FP94" s="10"/>
      <c r="FQ94" s="10"/>
      <c r="FR94" s="10"/>
      <c r="FS94" s="10"/>
      <c r="FT94" s="10"/>
      <c r="FU94" s="10"/>
      <c r="FV94" s="10"/>
      <c r="FW94" s="10"/>
      <c r="FX94" s="10"/>
      <c r="FY94" s="10"/>
      <c r="FZ94" s="10"/>
      <c r="GA94" s="10"/>
      <c r="GB94" s="10"/>
      <c r="GC94" s="10"/>
      <c r="GD94" s="10"/>
      <c r="GE94" s="10"/>
      <c r="GF94" s="10"/>
      <c r="GG94" s="10"/>
      <c r="GH94" s="10"/>
      <c r="GI94" s="10"/>
      <c r="GJ94" s="10"/>
      <c r="GK94" s="10"/>
      <c r="GL94" s="10"/>
      <c r="GM94" s="10"/>
      <c r="GN94" s="10"/>
      <c r="GO94" s="10"/>
      <c r="GP94" s="10"/>
      <c r="GQ94" s="10"/>
      <c r="GR94" s="10"/>
      <c r="GS94" s="10"/>
      <c r="GT94" s="10"/>
      <c r="GU94" s="10"/>
      <c r="GV94" s="10"/>
      <c r="GW94" s="10"/>
      <c r="GX94" s="10"/>
      <c r="GY94" s="10"/>
      <c r="GZ94" s="10"/>
      <c r="HA94" s="10"/>
      <c r="HB94" s="10"/>
      <c r="HC94" s="10"/>
      <c r="HD94" s="10"/>
      <c r="HE94" s="10"/>
      <c r="HF94" s="10"/>
      <c r="HG94" s="10"/>
      <c r="HH94" s="10"/>
      <c r="HI94" s="10"/>
      <c r="HJ94" s="10"/>
      <c r="HK94" s="10"/>
      <c r="HL94" s="10"/>
      <c r="HM94" s="10"/>
      <c r="HN94" s="10"/>
      <c r="HO94" s="10"/>
      <c r="HP94" s="10"/>
      <c r="HQ94" s="10"/>
      <c r="HR94" s="10"/>
      <c r="HS94" s="10"/>
      <c r="HT94" s="10"/>
      <c r="HU94" s="10"/>
      <c r="HV94" s="10"/>
      <c r="HW94" s="10"/>
      <c r="HX94" s="10"/>
      <c r="HY94" s="10"/>
      <c r="HZ94" s="10"/>
      <c r="IA94" s="10"/>
      <c r="IB94" s="10"/>
      <c r="IC94" s="10"/>
      <c r="ID94" s="10"/>
      <c r="IE94" s="10"/>
      <c r="IF94" s="10"/>
      <c r="IG94" s="10"/>
      <c r="IH94" s="10"/>
      <c r="II94" s="10"/>
      <c r="IJ94" s="10"/>
      <c r="IK94" s="10"/>
      <c r="IL94" s="10"/>
      <c r="IM94" s="10"/>
      <c r="IN94" s="10"/>
      <c r="IO94" s="10"/>
      <c r="IP94" s="10"/>
      <c r="IQ94" s="10"/>
      <c r="IR94" s="10"/>
      <c r="IS94" s="10"/>
      <c r="IT94" s="10"/>
      <c r="IU94" s="10"/>
      <c r="IV94" s="10"/>
      <c r="IW94" s="10"/>
      <c r="IX94" s="10"/>
      <c r="IY94" s="10"/>
      <c r="IZ94" s="10"/>
      <c r="JA94" s="10"/>
      <c r="JB94" s="10"/>
      <c r="JC94" s="10"/>
      <c r="JD94" s="10"/>
      <c r="JE94" s="10"/>
      <c r="JF94" s="10"/>
      <c r="JG94" s="10"/>
      <c r="JH94" s="10"/>
      <c r="JI94" s="10"/>
      <c r="JJ94" s="10"/>
      <c r="JK94" s="10"/>
      <c r="JL94" s="10"/>
      <c r="JM94" s="10"/>
      <c r="JN94" s="10"/>
      <c r="JO94" s="10"/>
      <c r="JP94" s="10"/>
      <c r="JQ94" s="10"/>
      <c r="JR94" s="10"/>
      <c r="JS94" s="10"/>
      <c r="JT94" s="10"/>
      <c r="JU94" s="10"/>
      <c r="JV94" s="10"/>
      <c r="JW94" s="10"/>
      <c r="JX94" s="10"/>
      <c r="JY94" s="10"/>
      <c r="JZ94" s="10"/>
      <c r="KA94" s="10"/>
      <c r="KB94" s="10"/>
      <c r="KC94" s="10"/>
      <c r="KD94" s="10"/>
      <c r="KE94" s="10"/>
      <c r="KF94" s="10"/>
      <c r="KG94" s="10"/>
      <c r="KH94" s="10"/>
      <c r="KI94" s="10"/>
      <c r="KJ94" s="10"/>
      <c r="KK94" s="10"/>
      <c r="KL94" s="10"/>
      <c r="KM94" s="10"/>
      <c r="KN94" s="10"/>
      <c r="KO94" s="10"/>
      <c r="KP94" s="10"/>
      <c r="KQ94" s="10"/>
      <c r="KR94" s="10"/>
      <c r="KS94" s="10"/>
      <c r="KT94" s="10"/>
      <c r="KU94" s="10"/>
      <c r="KV94" s="10"/>
      <c r="KW94" s="9"/>
      <c r="KX94" s="9"/>
    </row>
    <row r="95" s="11" customFormat="1" customHeight="1" spans="1:310">
      <c r="A95" s="28">
        <v>45870</v>
      </c>
      <c r="B95" s="29" t="s">
        <v>1022</v>
      </c>
      <c r="C95" s="32" t="s">
        <v>1032</v>
      </c>
      <c r="D95" s="32" t="s">
        <v>134</v>
      </c>
      <c r="E95" s="37" t="s">
        <v>903</v>
      </c>
      <c r="F95" s="29" t="s">
        <v>1713</v>
      </c>
      <c r="G95" s="29" t="s">
        <v>1714</v>
      </c>
      <c r="H95" s="32">
        <v>8</v>
      </c>
      <c r="I95" s="37">
        <v>2022</v>
      </c>
      <c r="J95" s="32" t="s">
        <v>1715</v>
      </c>
      <c r="K95" s="32" t="s">
        <v>1716</v>
      </c>
      <c r="L95" s="32">
        <v>9</v>
      </c>
      <c r="M95" s="32" t="s">
        <v>1637</v>
      </c>
      <c r="N95" s="32" t="s">
        <v>1717</v>
      </c>
      <c r="O95" s="32" t="s">
        <v>1718</v>
      </c>
      <c r="P95" s="32" t="s">
        <v>1016</v>
      </c>
      <c r="Q95" s="32" t="s">
        <v>1018</v>
      </c>
      <c r="R95" s="32" t="s">
        <v>1017</v>
      </c>
      <c r="S95" s="32">
        <v>282.67</v>
      </c>
      <c r="T95" s="32">
        <v>36.97</v>
      </c>
      <c r="U95" s="32" t="s">
        <v>1719</v>
      </c>
      <c r="V95" s="33">
        <v>0.1308</v>
      </c>
      <c r="W95" s="39">
        <v>0.6662</v>
      </c>
      <c r="X95" s="32" t="s">
        <v>1720</v>
      </c>
      <c r="Y95" s="32" t="s">
        <v>1018</v>
      </c>
      <c r="Z95" s="32" t="s">
        <v>1651</v>
      </c>
      <c r="AA95" s="32" t="s">
        <v>1721</v>
      </c>
      <c r="AB95" s="32" t="s">
        <v>1722</v>
      </c>
      <c r="AC95" s="32" t="s">
        <v>37</v>
      </c>
      <c r="AD95" s="32" t="s">
        <v>1018</v>
      </c>
      <c r="AE95" s="32"/>
      <c r="AF95" s="32"/>
      <c r="AG95" s="32"/>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c r="FP95" s="10"/>
      <c r="FQ95" s="10"/>
      <c r="FR95" s="10"/>
      <c r="FS95" s="10"/>
      <c r="FT95" s="10"/>
      <c r="FU95" s="10"/>
      <c r="FV95" s="10"/>
      <c r="FW95" s="10"/>
      <c r="FX95" s="10"/>
      <c r="FY95" s="10"/>
      <c r="FZ95" s="10"/>
      <c r="GA95" s="10"/>
      <c r="GB95" s="10"/>
      <c r="GC95" s="10"/>
      <c r="GD95" s="10"/>
      <c r="GE95" s="10"/>
      <c r="GF95" s="10"/>
      <c r="GG95" s="10"/>
      <c r="GH95" s="10"/>
      <c r="GI95" s="10"/>
      <c r="GJ95" s="10"/>
      <c r="GK95" s="10"/>
      <c r="GL95" s="10"/>
      <c r="GM95" s="10"/>
      <c r="GN95" s="10"/>
      <c r="GO95" s="10"/>
      <c r="GP95" s="10"/>
      <c r="GQ95" s="10"/>
      <c r="GR95" s="10"/>
      <c r="GS95" s="10"/>
      <c r="GT95" s="10"/>
      <c r="GU95" s="10"/>
      <c r="GV95" s="10"/>
      <c r="GW95" s="10"/>
      <c r="GX95" s="10"/>
      <c r="GY95" s="10"/>
      <c r="GZ95" s="10"/>
      <c r="HA95" s="10"/>
      <c r="HB95" s="10"/>
      <c r="HC95" s="10"/>
      <c r="HD95" s="10"/>
      <c r="HE95" s="10"/>
      <c r="HF95" s="10"/>
      <c r="HG95" s="10"/>
      <c r="HH95" s="10"/>
      <c r="HI95" s="10"/>
      <c r="HJ95" s="10"/>
      <c r="HK95" s="10"/>
      <c r="HL95" s="10"/>
      <c r="HM95" s="10"/>
      <c r="HN95" s="10"/>
      <c r="HO95" s="10"/>
      <c r="HP95" s="10"/>
      <c r="HQ95" s="10"/>
      <c r="HR95" s="10"/>
      <c r="HS95" s="10"/>
      <c r="HT95" s="10"/>
      <c r="HU95" s="10"/>
      <c r="HV95" s="10"/>
      <c r="HW95" s="10"/>
      <c r="HX95" s="10"/>
      <c r="HY95" s="10"/>
      <c r="HZ95" s="10"/>
      <c r="IA95" s="10"/>
      <c r="IB95" s="10"/>
      <c r="IC95" s="10"/>
      <c r="ID95" s="10"/>
      <c r="IE95" s="10"/>
      <c r="IF95" s="10"/>
      <c r="IG95" s="10"/>
      <c r="IH95" s="10"/>
      <c r="II95" s="10"/>
      <c r="IJ95" s="9"/>
      <c r="IK95" s="9"/>
      <c r="IL95" s="9"/>
      <c r="IM95" s="9"/>
      <c r="IN95" s="9"/>
      <c r="IO95" s="9"/>
      <c r="IP95" s="9"/>
      <c r="IQ95" s="9"/>
      <c r="IR95" s="9"/>
      <c r="IS95" s="9"/>
      <c r="IT95" s="9"/>
      <c r="IU95" s="9"/>
      <c r="IV95" s="9"/>
      <c r="IW95" s="9"/>
      <c r="IX95" s="9"/>
      <c r="IY95" s="9"/>
      <c r="IZ95" s="9"/>
      <c r="JA95" s="9"/>
      <c r="JB95" s="9"/>
      <c r="JC95" s="9"/>
      <c r="JD95" s="9"/>
      <c r="JE95" s="9"/>
      <c r="JF95" s="9"/>
      <c r="JG95" s="9"/>
      <c r="JH95" s="9"/>
      <c r="JI95" s="9"/>
      <c r="JJ95" s="9"/>
      <c r="JK95" s="9"/>
      <c r="JL95" s="9"/>
      <c r="JM95" s="9"/>
      <c r="JN95" s="9"/>
      <c r="JO95" s="9"/>
      <c r="JP95" s="9"/>
      <c r="JQ95" s="9"/>
      <c r="JR95" s="9"/>
      <c r="JS95" s="9"/>
      <c r="JT95" s="9"/>
      <c r="JU95" s="9"/>
      <c r="JV95" s="9"/>
      <c r="JW95" s="9"/>
      <c r="JX95" s="9"/>
      <c r="JY95" s="9"/>
      <c r="JZ95" s="9"/>
      <c r="KA95" s="9"/>
      <c r="KB95" s="9"/>
      <c r="KC95" s="9"/>
      <c r="KD95" s="9"/>
      <c r="KE95" s="9"/>
      <c r="KF95" s="9"/>
      <c r="KG95" s="9"/>
      <c r="KH95" s="9"/>
      <c r="KI95" s="9"/>
      <c r="KJ95" s="9"/>
      <c r="KK95" s="9"/>
      <c r="KL95" s="9"/>
      <c r="KM95" s="9"/>
      <c r="KN95" s="9"/>
      <c r="KO95" s="9"/>
      <c r="KP95" s="9"/>
      <c r="KQ95" s="9"/>
      <c r="KR95" s="9"/>
      <c r="KS95" s="9"/>
      <c r="KT95" s="9"/>
      <c r="KU95" s="9"/>
      <c r="KV95" s="9"/>
    </row>
    <row r="96" s="11" customFormat="1" customHeight="1" spans="1:310">
      <c r="A96" s="28">
        <v>45870</v>
      </c>
      <c r="B96" s="32" t="s">
        <v>1022</v>
      </c>
      <c r="C96" s="32" t="s">
        <v>1032</v>
      </c>
      <c r="D96" s="32" t="s">
        <v>134</v>
      </c>
      <c r="E96" s="32" t="s">
        <v>903</v>
      </c>
      <c r="F96" s="29" t="s">
        <v>1723</v>
      </c>
      <c r="G96" s="29" t="s">
        <v>1724</v>
      </c>
      <c r="H96" s="32">
        <v>8</v>
      </c>
      <c r="I96" s="32">
        <v>2022</v>
      </c>
      <c r="J96" s="32" t="s">
        <v>1725</v>
      </c>
      <c r="K96" s="32" t="s">
        <v>1726</v>
      </c>
      <c r="L96" s="32">
        <v>9</v>
      </c>
      <c r="M96" s="29" t="s">
        <v>1727</v>
      </c>
      <c r="N96" s="29" t="s">
        <v>1728</v>
      </c>
      <c r="O96" s="32" t="s">
        <v>1729</v>
      </c>
      <c r="P96" s="32" t="s">
        <v>1016</v>
      </c>
      <c r="Q96" s="32" t="s">
        <v>1018</v>
      </c>
      <c r="R96" s="32" t="s">
        <v>1017</v>
      </c>
      <c r="S96" s="32">
        <v>581.58</v>
      </c>
      <c r="T96" s="32">
        <v>30</v>
      </c>
      <c r="U96" s="32" t="s">
        <v>1533</v>
      </c>
      <c r="V96" s="33">
        <v>0.0516</v>
      </c>
      <c r="W96" s="32" t="s">
        <v>1068</v>
      </c>
      <c r="X96" s="32" t="s">
        <v>1068</v>
      </c>
      <c r="Y96" s="32" t="s">
        <v>1018</v>
      </c>
      <c r="Z96" s="32" t="s">
        <v>1040</v>
      </c>
      <c r="AA96" s="32" t="s">
        <v>1730</v>
      </c>
      <c r="AB96" s="32" t="s">
        <v>1731</v>
      </c>
      <c r="AC96" s="32" t="s">
        <v>1732</v>
      </c>
      <c r="AD96" s="32" t="s">
        <v>1018</v>
      </c>
      <c r="AE96" s="32"/>
      <c r="AF96" s="32"/>
      <c r="AG96" s="32" t="s">
        <v>1068</v>
      </c>
      <c r="AH96" s="10" t="s">
        <v>1068</v>
      </c>
      <c r="AI96" s="10" t="s">
        <v>1068</v>
      </c>
      <c r="AJ96" s="10" t="s">
        <v>1068</v>
      </c>
      <c r="AK96" s="10" t="s">
        <v>1068</v>
      </c>
      <c r="AL96" s="10" t="s">
        <v>1068</v>
      </c>
      <c r="AM96" s="10" t="s">
        <v>1068</v>
      </c>
      <c r="AN96" s="10" t="s">
        <v>1068</v>
      </c>
      <c r="AO96" s="10" t="s">
        <v>1068</v>
      </c>
      <c r="AP96" s="10" t="s">
        <v>1068</v>
      </c>
      <c r="AQ96" s="10" t="s">
        <v>1068</v>
      </c>
      <c r="AR96" s="10" t="s">
        <v>1068</v>
      </c>
      <c r="AS96" s="10" t="s">
        <v>1068</v>
      </c>
      <c r="AT96" s="10" t="s">
        <v>1068</v>
      </c>
      <c r="AU96" s="10" t="s">
        <v>1068</v>
      </c>
      <c r="AV96" s="10" t="s">
        <v>1068</v>
      </c>
      <c r="AW96" s="10" t="s">
        <v>1068</v>
      </c>
      <c r="AX96" s="10" t="s">
        <v>1068</v>
      </c>
      <c r="AY96" s="10" t="s">
        <v>1068</v>
      </c>
      <c r="AZ96" s="10" t="s">
        <v>1068</v>
      </c>
      <c r="BA96" s="10" t="s">
        <v>1068</v>
      </c>
      <c r="BB96" s="10" t="s">
        <v>1068</v>
      </c>
      <c r="BC96" s="10" t="s">
        <v>1068</v>
      </c>
      <c r="BD96" s="10" t="s">
        <v>1068</v>
      </c>
      <c r="BE96" s="10" t="s">
        <v>1068</v>
      </c>
      <c r="BF96" s="10" t="s">
        <v>1068</v>
      </c>
      <c r="BG96" s="10" t="s">
        <v>1068</v>
      </c>
      <c r="BH96" s="10" t="s">
        <v>1068</v>
      </c>
      <c r="BI96" s="10" t="s">
        <v>1068</v>
      </c>
      <c r="BJ96" s="10" t="s">
        <v>1068</v>
      </c>
      <c r="BK96" s="10" t="s">
        <v>1068</v>
      </c>
      <c r="BL96" s="10" t="s">
        <v>1068</v>
      </c>
      <c r="BM96" s="10" t="s">
        <v>1068</v>
      </c>
      <c r="BN96" s="10" t="s">
        <v>1068</v>
      </c>
      <c r="BO96" s="10" t="s">
        <v>1068</v>
      </c>
      <c r="BP96" s="10" t="s">
        <v>1068</v>
      </c>
      <c r="BQ96" s="10" t="s">
        <v>1068</v>
      </c>
      <c r="BR96" s="10" t="s">
        <v>1068</v>
      </c>
      <c r="BS96" s="10" t="s">
        <v>1068</v>
      </c>
      <c r="BT96" s="10" t="s">
        <v>1068</v>
      </c>
      <c r="BU96" s="10" t="s">
        <v>1068</v>
      </c>
      <c r="BV96" s="10" t="s">
        <v>1068</v>
      </c>
      <c r="BW96" s="10" t="s">
        <v>1068</v>
      </c>
      <c r="BX96" s="10" t="s">
        <v>1068</v>
      </c>
      <c r="BY96" s="10" t="s">
        <v>1068</v>
      </c>
      <c r="BZ96" s="10" t="s">
        <v>1068</v>
      </c>
      <c r="CA96" s="10" t="s">
        <v>1068</v>
      </c>
      <c r="CB96" s="10" t="s">
        <v>1068</v>
      </c>
      <c r="CC96" s="10" t="s">
        <v>1068</v>
      </c>
      <c r="CD96" s="10" t="s">
        <v>1068</v>
      </c>
      <c r="CE96" s="10" t="s">
        <v>1068</v>
      </c>
      <c r="CF96" s="10" t="s">
        <v>1068</v>
      </c>
      <c r="CG96" s="10" t="s">
        <v>1068</v>
      </c>
      <c r="CH96" s="10" t="s">
        <v>1068</v>
      </c>
      <c r="CI96" s="10" t="s">
        <v>1068</v>
      </c>
      <c r="CJ96" s="10" t="s">
        <v>1068</v>
      </c>
      <c r="CK96" s="10" t="s">
        <v>1068</v>
      </c>
      <c r="CL96" s="10" t="s">
        <v>1068</v>
      </c>
      <c r="CM96" s="10" t="s">
        <v>1068</v>
      </c>
      <c r="CN96" s="10" t="s">
        <v>1068</v>
      </c>
      <c r="CO96" s="10" t="s">
        <v>1068</v>
      </c>
      <c r="CP96" s="10" t="s">
        <v>1068</v>
      </c>
      <c r="CQ96" s="10" t="s">
        <v>1068</v>
      </c>
      <c r="CR96" s="10" t="s">
        <v>1068</v>
      </c>
      <c r="CS96" s="10" t="s">
        <v>1068</v>
      </c>
      <c r="CT96" s="10" t="s">
        <v>1068</v>
      </c>
      <c r="CU96" s="10" t="s">
        <v>1068</v>
      </c>
      <c r="CV96" s="10" t="s">
        <v>1068</v>
      </c>
      <c r="CW96" s="10" t="s">
        <v>1068</v>
      </c>
      <c r="CX96" s="10" t="s">
        <v>1068</v>
      </c>
      <c r="CY96" s="10" t="s">
        <v>1068</v>
      </c>
      <c r="CZ96" s="10" t="s">
        <v>1068</v>
      </c>
      <c r="DA96" s="10" t="s">
        <v>1068</v>
      </c>
      <c r="DB96" s="10" t="s">
        <v>1068</v>
      </c>
      <c r="DC96" s="10" t="s">
        <v>1068</v>
      </c>
      <c r="DD96" s="10" t="s">
        <v>1068</v>
      </c>
      <c r="DE96" s="10" t="s">
        <v>1068</v>
      </c>
      <c r="DF96" s="10" t="s">
        <v>1068</v>
      </c>
      <c r="DG96" s="10" t="s">
        <v>1068</v>
      </c>
      <c r="DH96" s="10" t="s">
        <v>1068</v>
      </c>
      <c r="DI96" s="10" t="s">
        <v>1068</v>
      </c>
      <c r="DJ96" s="10" t="s">
        <v>1068</v>
      </c>
      <c r="DK96" s="10" t="s">
        <v>1068</v>
      </c>
      <c r="DL96" s="10" t="s">
        <v>1068</v>
      </c>
      <c r="DM96" s="10" t="s">
        <v>1068</v>
      </c>
      <c r="DN96" s="10" t="s">
        <v>1068</v>
      </c>
      <c r="DO96" s="10" t="s">
        <v>1068</v>
      </c>
      <c r="DP96" s="10" t="s">
        <v>1068</v>
      </c>
      <c r="DQ96" s="10" t="s">
        <v>1068</v>
      </c>
      <c r="DR96" s="10" t="s">
        <v>1068</v>
      </c>
      <c r="DS96" s="10" t="s">
        <v>1068</v>
      </c>
      <c r="DT96" s="10" t="s">
        <v>1068</v>
      </c>
      <c r="DU96" s="10" t="s">
        <v>1068</v>
      </c>
      <c r="DV96" s="10" t="s">
        <v>1068</v>
      </c>
      <c r="DW96" s="10" t="s">
        <v>1068</v>
      </c>
      <c r="DX96" s="10" t="s">
        <v>1068</v>
      </c>
      <c r="DY96" s="10" t="s">
        <v>1068</v>
      </c>
      <c r="DZ96" s="10" t="s">
        <v>1068</v>
      </c>
      <c r="EA96" s="10" t="s">
        <v>1068</v>
      </c>
      <c r="EB96" s="10" t="s">
        <v>1068</v>
      </c>
      <c r="EC96" s="10" t="s">
        <v>1068</v>
      </c>
      <c r="ED96" s="10" t="s">
        <v>1068</v>
      </c>
      <c r="EE96" s="10" t="s">
        <v>1068</v>
      </c>
      <c r="EF96" s="10" t="s">
        <v>1068</v>
      </c>
      <c r="EG96" s="10" t="s">
        <v>1068</v>
      </c>
      <c r="EH96" s="10" t="s">
        <v>1068</v>
      </c>
      <c r="EI96" s="10" t="s">
        <v>1068</v>
      </c>
      <c r="EJ96" s="10" t="s">
        <v>1068</v>
      </c>
      <c r="EK96" s="10" t="s">
        <v>1068</v>
      </c>
      <c r="EL96" s="10" t="s">
        <v>1068</v>
      </c>
      <c r="EM96" s="10" t="s">
        <v>1068</v>
      </c>
      <c r="EN96" s="10" t="s">
        <v>1068</v>
      </c>
      <c r="EO96" s="10" t="s">
        <v>1068</v>
      </c>
      <c r="EP96" s="10" t="s">
        <v>1068</v>
      </c>
      <c r="EQ96" s="10" t="s">
        <v>1068</v>
      </c>
      <c r="ER96" s="10" t="s">
        <v>1068</v>
      </c>
      <c r="ES96" s="10" t="s">
        <v>1068</v>
      </c>
      <c r="ET96" s="10" t="s">
        <v>1068</v>
      </c>
      <c r="EU96" s="10" t="s">
        <v>1068</v>
      </c>
      <c r="EV96" s="10" t="s">
        <v>1068</v>
      </c>
      <c r="EW96" s="10" t="s">
        <v>1068</v>
      </c>
      <c r="EX96" s="10" t="s">
        <v>1068</v>
      </c>
      <c r="EY96" s="10" t="s">
        <v>1068</v>
      </c>
      <c r="EZ96" s="10" t="s">
        <v>1068</v>
      </c>
      <c r="FA96" s="10" t="s">
        <v>1068</v>
      </c>
      <c r="FB96" s="10" t="s">
        <v>1068</v>
      </c>
      <c r="FC96" s="10" t="s">
        <v>1068</v>
      </c>
      <c r="FD96" s="10" t="s">
        <v>1068</v>
      </c>
      <c r="FE96" s="10" t="s">
        <v>1068</v>
      </c>
      <c r="FF96" s="10" t="s">
        <v>1068</v>
      </c>
      <c r="FG96" s="10" t="s">
        <v>1068</v>
      </c>
      <c r="FH96" s="10" t="s">
        <v>1068</v>
      </c>
      <c r="FI96" s="10" t="s">
        <v>1068</v>
      </c>
      <c r="FJ96" s="10" t="s">
        <v>1068</v>
      </c>
      <c r="FK96" s="10" t="s">
        <v>1068</v>
      </c>
      <c r="FL96" s="10" t="s">
        <v>1068</v>
      </c>
      <c r="FM96" s="10" t="s">
        <v>1068</v>
      </c>
      <c r="FN96" s="10" t="s">
        <v>1068</v>
      </c>
      <c r="FO96" s="10" t="s">
        <v>1068</v>
      </c>
      <c r="FP96" s="10" t="s">
        <v>1068</v>
      </c>
      <c r="FQ96" s="10" t="s">
        <v>1068</v>
      </c>
      <c r="FR96" s="10" t="s">
        <v>1068</v>
      </c>
      <c r="FS96" s="10" t="s">
        <v>1068</v>
      </c>
      <c r="FT96" s="10" t="s">
        <v>1068</v>
      </c>
      <c r="FU96" s="10" t="s">
        <v>1068</v>
      </c>
      <c r="FV96" s="10" t="s">
        <v>1068</v>
      </c>
      <c r="FW96" s="10" t="s">
        <v>1068</v>
      </c>
      <c r="FX96" s="10" t="s">
        <v>1068</v>
      </c>
      <c r="FY96" s="10" t="s">
        <v>1068</v>
      </c>
      <c r="FZ96" s="10" t="s">
        <v>1068</v>
      </c>
      <c r="GA96" s="10" t="s">
        <v>1068</v>
      </c>
      <c r="GB96" s="10" t="s">
        <v>1068</v>
      </c>
      <c r="GC96" s="10" t="s">
        <v>1068</v>
      </c>
      <c r="GD96" s="10" t="s">
        <v>1068</v>
      </c>
      <c r="GE96" s="10" t="s">
        <v>1068</v>
      </c>
      <c r="GF96" s="10" t="s">
        <v>1068</v>
      </c>
      <c r="GG96" s="10" t="s">
        <v>1068</v>
      </c>
      <c r="GH96" s="10" t="s">
        <v>1068</v>
      </c>
      <c r="GI96" s="10" t="s">
        <v>1068</v>
      </c>
      <c r="GJ96" s="10" t="s">
        <v>1068</v>
      </c>
      <c r="GK96" s="10" t="s">
        <v>1068</v>
      </c>
      <c r="GL96" s="10" t="s">
        <v>1068</v>
      </c>
      <c r="GM96" s="10" t="s">
        <v>1068</v>
      </c>
      <c r="GN96" s="10" t="s">
        <v>1068</v>
      </c>
      <c r="GO96" s="10" t="s">
        <v>1068</v>
      </c>
      <c r="GP96" s="10" t="s">
        <v>1068</v>
      </c>
      <c r="GQ96" s="10" t="s">
        <v>1068</v>
      </c>
      <c r="GR96" s="10" t="s">
        <v>1068</v>
      </c>
      <c r="GS96" s="10" t="s">
        <v>1068</v>
      </c>
      <c r="GT96" s="10" t="s">
        <v>1068</v>
      </c>
      <c r="GU96" s="10" t="s">
        <v>1068</v>
      </c>
      <c r="GV96" s="10" t="s">
        <v>1068</v>
      </c>
      <c r="GW96" s="10" t="s">
        <v>1068</v>
      </c>
      <c r="GX96" s="10" t="s">
        <v>1068</v>
      </c>
      <c r="GY96" s="10" t="s">
        <v>1068</v>
      </c>
      <c r="GZ96" s="10" t="s">
        <v>1068</v>
      </c>
      <c r="HA96" s="10" t="s">
        <v>1068</v>
      </c>
      <c r="HB96" s="10" t="s">
        <v>1068</v>
      </c>
      <c r="HC96" s="10" t="s">
        <v>1068</v>
      </c>
      <c r="HD96" s="10" t="s">
        <v>1068</v>
      </c>
      <c r="HE96" s="10" t="s">
        <v>1068</v>
      </c>
      <c r="HF96" s="10" t="s">
        <v>1068</v>
      </c>
      <c r="HG96" s="10" t="s">
        <v>1068</v>
      </c>
      <c r="HH96" s="10" t="s">
        <v>1068</v>
      </c>
      <c r="HI96" s="10" t="s">
        <v>1068</v>
      </c>
      <c r="HJ96" s="10" t="s">
        <v>1068</v>
      </c>
      <c r="HK96" s="10" t="s">
        <v>1068</v>
      </c>
      <c r="HL96" s="10" t="s">
        <v>1068</v>
      </c>
      <c r="HM96" s="10" t="s">
        <v>1068</v>
      </c>
      <c r="HN96" s="10" t="s">
        <v>1068</v>
      </c>
      <c r="HO96" s="10" t="s">
        <v>1068</v>
      </c>
      <c r="HP96" s="10" t="s">
        <v>1068</v>
      </c>
      <c r="HQ96" s="10" t="s">
        <v>1068</v>
      </c>
      <c r="HR96" s="10" t="s">
        <v>1068</v>
      </c>
      <c r="HS96" s="10" t="s">
        <v>1068</v>
      </c>
      <c r="HT96" s="10" t="s">
        <v>1068</v>
      </c>
      <c r="HU96" s="10" t="s">
        <v>1068</v>
      </c>
      <c r="HV96" s="10" t="s">
        <v>1068</v>
      </c>
      <c r="HW96" s="10" t="s">
        <v>1068</v>
      </c>
      <c r="HX96" s="10" t="s">
        <v>1068</v>
      </c>
      <c r="HY96" s="10" t="s">
        <v>1068</v>
      </c>
      <c r="HZ96" s="10" t="s">
        <v>1068</v>
      </c>
      <c r="IA96" s="10" t="s">
        <v>1068</v>
      </c>
      <c r="IB96" s="10" t="s">
        <v>1068</v>
      </c>
      <c r="IC96" s="10" t="s">
        <v>1068</v>
      </c>
      <c r="ID96" s="10" t="s">
        <v>1068</v>
      </c>
      <c r="IE96" s="10" t="s">
        <v>1068</v>
      </c>
      <c r="IF96" s="10" t="s">
        <v>1068</v>
      </c>
      <c r="IG96" s="10" t="s">
        <v>1068</v>
      </c>
      <c r="IH96" s="10" t="s">
        <v>1068</v>
      </c>
      <c r="II96" s="13"/>
      <c r="IJ96" s="9"/>
      <c r="IK96" s="9"/>
      <c r="IL96" s="9"/>
      <c r="IM96" s="9"/>
      <c r="IN96" s="9"/>
      <c r="IO96" s="9"/>
      <c r="IP96" s="9"/>
      <c r="IQ96" s="9"/>
      <c r="IR96" s="9"/>
      <c r="IS96" s="9"/>
      <c r="IT96" s="9"/>
      <c r="IU96" s="9"/>
      <c r="IV96" s="9"/>
      <c r="IW96" s="9"/>
      <c r="IX96" s="9"/>
      <c r="IY96" s="9"/>
      <c r="IZ96" s="9"/>
      <c r="JA96" s="9"/>
      <c r="JB96" s="9"/>
      <c r="JC96" s="9"/>
      <c r="JD96" s="9"/>
      <c r="JE96" s="9"/>
      <c r="JF96" s="9"/>
      <c r="JG96" s="9"/>
      <c r="JH96" s="9"/>
      <c r="JI96" s="9"/>
      <c r="JJ96" s="9"/>
      <c r="JK96" s="9"/>
      <c r="JL96" s="9"/>
      <c r="JM96" s="9"/>
      <c r="JN96" s="9"/>
      <c r="JO96" s="9"/>
      <c r="JP96" s="9"/>
      <c r="JQ96" s="9"/>
      <c r="JR96" s="9"/>
      <c r="JS96" s="9"/>
      <c r="JT96" s="9"/>
      <c r="JU96" s="9"/>
      <c r="JV96" s="9"/>
      <c r="JW96" s="9"/>
      <c r="JX96" s="9"/>
      <c r="JY96" s="9"/>
      <c r="JZ96" s="9"/>
      <c r="KA96" s="9"/>
      <c r="KB96" s="9"/>
      <c r="KC96" s="9"/>
      <c r="KD96" s="9"/>
      <c r="KE96" s="9"/>
      <c r="KF96" s="9"/>
      <c r="KG96" s="9"/>
      <c r="KH96" s="9"/>
      <c r="KI96" s="9"/>
      <c r="KJ96" s="9"/>
      <c r="KK96" s="9"/>
      <c r="KL96" s="9"/>
      <c r="KM96" s="9"/>
      <c r="KN96" s="9"/>
      <c r="KO96" s="9"/>
      <c r="KP96" s="9"/>
      <c r="KQ96" s="9"/>
      <c r="KR96" s="9"/>
      <c r="KS96" s="9"/>
      <c r="KT96" s="9"/>
      <c r="KU96" s="9"/>
      <c r="KV96" s="9"/>
      <c r="KW96" s="13"/>
      <c r="KX96" s="13"/>
    </row>
    <row r="97" s="11" customFormat="1" customHeight="1" spans="1:310">
      <c r="A97" s="28">
        <v>45870</v>
      </c>
      <c r="B97" s="29" t="s">
        <v>1022</v>
      </c>
      <c r="C97" s="29" t="s">
        <v>1023</v>
      </c>
      <c r="D97" s="29" t="s">
        <v>1047</v>
      </c>
      <c r="E97" s="29" t="s">
        <v>1733</v>
      </c>
      <c r="F97" s="29" t="s">
        <v>1733</v>
      </c>
      <c r="G97" s="29" t="s">
        <v>1734</v>
      </c>
      <c r="H97" s="29">
        <v>8</v>
      </c>
      <c r="I97" s="51">
        <v>2023</v>
      </c>
      <c r="J97" s="45" t="s">
        <v>1711</v>
      </c>
      <c r="K97" s="45" t="s">
        <v>1735</v>
      </c>
      <c r="L97" s="29">
        <v>1</v>
      </c>
      <c r="M97" s="30" t="s">
        <v>1013</v>
      </c>
      <c r="N97" s="30" t="s">
        <v>1014</v>
      </c>
      <c r="O97" s="29">
        <v>89</v>
      </c>
      <c r="P97" s="29" t="s">
        <v>1018</v>
      </c>
      <c r="Q97" s="29" t="s">
        <v>1016</v>
      </c>
      <c r="R97" s="29" t="s">
        <v>1017</v>
      </c>
      <c r="S97" s="29">
        <v>595</v>
      </c>
      <c r="T97" s="60">
        <v>14.68</v>
      </c>
      <c r="U97" s="29" t="s">
        <v>1736</v>
      </c>
      <c r="V97" s="64"/>
      <c r="W97" s="34"/>
      <c r="X97" s="34"/>
      <c r="Y97" s="29" t="s">
        <v>1018</v>
      </c>
      <c r="Z97" s="29" t="s">
        <v>1737</v>
      </c>
      <c r="AA97" s="29" t="s">
        <v>1738</v>
      </c>
      <c r="AB97" s="29" t="s">
        <v>1739</v>
      </c>
      <c r="AC97" s="29" t="s">
        <v>43</v>
      </c>
      <c r="AD97" s="29" t="s">
        <v>1018</v>
      </c>
      <c r="AE97" s="29"/>
      <c r="AF97" s="29"/>
      <c r="AG97" s="29" t="s">
        <v>1740</v>
      </c>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c r="EG97" s="9"/>
      <c r="EH97" s="9"/>
      <c r="EI97" s="9"/>
      <c r="EJ97" s="9"/>
      <c r="EK97" s="9"/>
      <c r="EL97" s="9"/>
      <c r="EM97" s="9"/>
      <c r="EN97" s="9"/>
      <c r="EO97" s="9"/>
      <c r="EP97" s="9"/>
      <c r="EQ97" s="9"/>
      <c r="ER97" s="9"/>
      <c r="ES97" s="9"/>
      <c r="ET97" s="9"/>
      <c r="EU97" s="9"/>
      <c r="EV97" s="9"/>
      <c r="EW97" s="9"/>
      <c r="EX97" s="9"/>
      <c r="EY97" s="9"/>
      <c r="EZ97" s="9"/>
      <c r="FA97" s="9"/>
      <c r="FB97" s="9"/>
      <c r="FC97" s="9"/>
      <c r="FD97" s="9"/>
      <c r="FE97" s="9"/>
      <c r="FF97" s="9"/>
      <c r="FG97" s="9"/>
      <c r="FH97" s="9"/>
      <c r="FI97" s="9"/>
      <c r="FJ97" s="9"/>
      <c r="FK97" s="9"/>
      <c r="FL97" s="9"/>
      <c r="FM97" s="9"/>
      <c r="FN97" s="9"/>
      <c r="FO97" s="9"/>
      <c r="FP97" s="9"/>
      <c r="FQ97" s="9"/>
      <c r="FR97" s="9"/>
      <c r="FS97" s="9"/>
      <c r="FT97" s="9"/>
      <c r="FU97" s="9"/>
      <c r="FV97" s="9"/>
      <c r="FW97" s="9"/>
      <c r="FX97" s="9"/>
      <c r="FY97" s="9"/>
      <c r="FZ97" s="9"/>
      <c r="GA97" s="9"/>
      <c r="GB97" s="9"/>
      <c r="GC97" s="9"/>
      <c r="GD97" s="9"/>
      <c r="GE97" s="9"/>
      <c r="GF97" s="9"/>
      <c r="GG97" s="9"/>
      <c r="GH97" s="9"/>
      <c r="GI97" s="9"/>
      <c r="GJ97" s="9"/>
      <c r="GK97" s="9"/>
      <c r="GL97" s="9"/>
      <c r="GM97" s="9"/>
      <c r="GN97" s="9"/>
      <c r="GO97" s="9"/>
      <c r="GP97" s="9"/>
      <c r="GQ97" s="9"/>
      <c r="GR97" s="9"/>
      <c r="GS97" s="9"/>
      <c r="GT97" s="9"/>
      <c r="GU97" s="9"/>
      <c r="GV97" s="9"/>
      <c r="GW97" s="9"/>
      <c r="GX97" s="9"/>
      <c r="GY97" s="9"/>
      <c r="GZ97" s="9"/>
      <c r="HA97" s="9"/>
      <c r="HB97" s="9"/>
      <c r="HC97" s="9"/>
      <c r="HD97" s="9"/>
      <c r="HE97" s="9"/>
      <c r="HF97" s="9"/>
      <c r="HG97" s="9"/>
      <c r="HH97" s="9"/>
      <c r="HI97" s="9"/>
      <c r="HJ97" s="9"/>
      <c r="HK97" s="9"/>
      <c r="HL97" s="9"/>
      <c r="HM97" s="9"/>
      <c r="HN97" s="9"/>
      <c r="HO97" s="9"/>
      <c r="HP97" s="9"/>
      <c r="HQ97" s="9"/>
      <c r="HR97" s="9"/>
      <c r="HS97" s="9"/>
      <c r="HT97" s="9"/>
      <c r="HU97" s="9"/>
      <c r="HV97" s="9"/>
      <c r="HW97" s="9"/>
      <c r="HX97" s="9"/>
      <c r="HY97" s="9"/>
      <c r="HZ97" s="9"/>
      <c r="IA97" s="9"/>
      <c r="IB97" s="9"/>
      <c r="IC97" s="9"/>
      <c r="ID97" s="9"/>
      <c r="IE97" s="9"/>
      <c r="IF97" s="9"/>
      <c r="IG97" s="9"/>
      <c r="IH97" s="9"/>
      <c r="II97" s="9"/>
      <c r="KW97" s="9"/>
      <c r="KX97" s="9"/>
    </row>
    <row r="98" s="11" customFormat="1" customHeight="1" spans="1:310">
      <c r="A98" s="28">
        <v>45870</v>
      </c>
      <c r="B98" s="29" t="s">
        <v>1022</v>
      </c>
      <c r="C98" s="32" t="s">
        <v>1007</v>
      </c>
      <c r="D98" s="32" t="s">
        <v>1215</v>
      </c>
      <c r="E98" s="49" t="s">
        <v>822</v>
      </c>
      <c r="F98" s="30" t="s">
        <v>822</v>
      </c>
      <c r="G98" s="30" t="s">
        <v>824</v>
      </c>
      <c r="H98" s="93" t="s">
        <v>1741</v>
      </c>
      <c r="I98" s="32">
        <v>2020</v>
      </c>
      <c r="J98" s="32" t="s">
        <v>1742</v>
      </c>
      <c r="K98" s="32" t="s">
        <v>1743</v>
      </c>
      <c r="L98" s="93" t="s">
        <v>1744</v>
      </c>
      <c r="M98" s="32" t="s">
        <v>1050</v>
      </c>
      <c r="N98" s="32" t="s">
        <v>1745</v>
      </c>
      <c r="O98" s="32" t="s">
        <v>1746</v>
      </c>
      <c r="P98" s="32" t="s">
        <v>1016</v>
      </c>
      <c r="Q98" s="32" t="s">
        <v>1018</v>
      </c>
      <c r="R98" s="32" t="s">
        <v>1017</v>
      </c>
      <c r="S98" s="38">
        <v>3491.56</v>
      </c>
      <c r="T98" s="32">
        <v>230</v>
      </c>
      <c r="U98" s="32" t="s">
        <v>1191</v>
      </c>
      <c r="V98" s="33">
        <f>T98/S98</f>
        <v>0.0658731340718762</v>
      </c>
      <c r="W98" s="39"/>
      <c r="X98" s="39"/>
      <c r="Y98" s="32" t="s">
        <v>1018</v>
      </c>
      <c r="Z98" s="32" t="s">
        <v>1201</v>
      </c>
      <c r="AA98" s="32" t="s">
        <v>1747</v>
      </c>
      <c r="AB98" s="40" t="s">
        <v>1748</v>
      </c>
      <c r="AC98" s="32" t="s">
        <v>1749</v>
      </c>
      <c r="AD98" s="32" t="s">
        <v>1750</v>
      </c>
      <c r="AE98" s="91" t="s">
        <v>134</v>
      </c>
      <c r="AF98" s="92" t="s">
        <v>1018</v>
      </c>
      <c r="AG98" s="32"/>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10"/>
      <c r="GF98" s="10"/>
      <c r="GG98" s="10"/>
      <c r="GH98" s="10"/>
      <c r="GI98" s="10"/>
      <c r="GJ98" s="10"/>
      <c r="GK98" s="10"/>
      <c r="GL98" s="10"/>
      <c r="GM98" s="10"/>
      <c r="GN98" s="10"/>
      <c r="GO98" s="10"/>
      <c r="GP98" s="10"/>
      <c r="GQ98" s="10"/>
      <c r="GR98" s="10"/>
      <c r="GS98" s="10"/>
      <c r="GT98" s="10"/>
      <c r="GU98" s="10"/>
      <c r="GV98" s="10"/>
      <c r="GW98" s="10"/>
      <c r="GX98" s="10"/>
      <c r="GY98" s="10"/>
      <c r="GZ98" s="10"/>
      <c r="HA98" s="10"/>
      <c r="HB98" s="10"/>
      <c r="HC98" s="10"/>
      <c r="HD98" s="10"/>
      <c r="HE98" s="10"/>
      <c r="HF98" s="10"/>
      <c r="HG98" s="10"/>
      <c r="HH98" s="10"/>
      <c r="HI98" s="10"/>
      <c r="HJ98" s="10"/>
      <c r="HK98" s="10"/>
      <c r="HL98" s="10"/>
      <c r="HM98" s="10"/>
      <c r="HN98" s="10"/>
      <c r="HO98" s="10"/>
      <c r="HP98" s="10"/>
      <c r="HQ98" s="10"/>
      <c r="HR98" s="10"/>
      <c r="HS98" s="10"/>
      <c r="HT98" s="10"/>
      <c r="HU98" s="10"/>
      <c r="HV98" s="10"/>
      <c r="HW98" s="10"/>
      <c r="HX98" s="10"/>
      <c r="HY98" s="10"/>
      <c r="HZ98" s="10"/>
      <c r="IA98" s="10"/>
      <c r="IB98" s="10"/>
      <c r="IC98" s="10"/>
      <c r="ID98" s="10"/>
      <c r="IE98" s="10"/>
      <c r="IF98" s="10"/>
      <c r="IG98" s="10"/>
      <c r="IH98" s="10"/>
      <c r="II98" s="10"/>
      <c r="KW98" s="10"/>
      <c r="KX98" s="10"/>
    </row>
    <row r="99" s="11" customFormat="1" customHeight="1" spans="1:310">
      <c r="A99" s="28">
        <v>45870</v>
      </c>
      <c r="B99" s="29" t="s">
        <v>1022</v>
      </c>
      <c r="C99" s="30" t="s">
        <v>1057</v>
      </c>
      <c r="D99" s="29" t="s">
        <v>134</v>
      </c>
      <c r="E99" s="37" t="s">
        <v>869</v>
      </c>
      <c r="F99" s="32" t="s">
        <v>1751</v>
      </c>
      <c r="G99" s="29" t="s">
        <v>1752</v>
      </c>
      <c r="H99" s="32" t="s">
        <v>1753</v>
      </c>
      <c r="I99" s="37"/>
      <c r="J99" s="32" t="s">
        <v>1754</v>
      </c>
      <c r="K99" s="32" t="s">
        <v>1207</v>
      </c>
      <c r="L99" s="32">
        <v>3</v>
      </c>
      <c r="M99" s="32" t="s">
        <v>1262</v>
      </c>
      <c r="N99" s="32" t="s">
        <v>1091</v>
      </c>
      <c r="O99" s="32">
        <v>99</v>
      </c>
      <c r="P99" s="32" t="s">
        <v>1018</v>
      </c>
      <c r="Q99" s="32" t="s">
        <v>1016</v>
      </c>
      <c r="R99" s="32" t="s">
        <v>1017</v>
      </c>
      <c r="S99" s="49">
        <v>108</v>
      </c>
      <c r="T99" s="32"/>
      <c r="U99" s="32"/>
      <c r="V99" s="33"/>
      <c r="W99" s="39"/>
      <c r="X99" s="32"/>
      <c r="Y99" s="32" t="s">
        <v>1018</v>
      </c>
      <c r="Z99" s="32" t="s">
        <v>1562</v>
      </c>
      <c r="AA99" s="32" t="s">
        <v>1755</v>
      </c>
      <c r="AB99" s="32" t="s">
        <v>1756</v>
      </c>
      <c r="AC99" s="32" t="s">
        <v>37</v>
      </c>
      <c r="AD99" s="32" t="s">
        <v>1018</v>
      </c>
      <c r="AE99" s="32"/>
      <c r="AF99" s="32"/>
      <c r="AG99" s="32"/>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c r="FZ99" s="10"/>
      <c r="GA99" s="10"/>
      <c r="GB99" s="10"/>
      <c r="GC99" s="10"/>
      <c r="GD99" s="10"/>
      <c r="GE99" s="10"/>
      <c r="GF99" s="10"/>
      <c r="GG99" s="10"/>
      <c r="GH99" s="10"/>
      <c r="GI99" s="10"/>
      <c r="GJ99" s="10"/>
      <c r="GK99" s="10"/>
      <c r="GL99" s="10"/>
      <c r="GM99" s="10"/>
      <c r="GN99" s="10"/>
      <c r="GO99" s="10"/>
      <c r="GP99" s="10"/>
      <c r="GQ99" s="10"/>
      <c r="GR99" s="10"/>
      <c r="GS99" s="10"/>
      <c r="GT99" s="10"/>
      <c r="GU99" s="10"/>
      <c r="GV99" s="10"/>
      <c r="GW99" s="10"/>
      <c r="GX99" s="10"/>
      <c r="GY99" s="10"/>
      <c r="GZ99" s="10"/>
      <c r="HA99" s="10"/>
      <c r="HB99" s="10"/>
      <c r="HC99" s="10"/>
      <c r="HD99" s="10"/>
      <c r="HE99" s="10"/>
      <c r="HF99" s="10"/>
      <c r="HG99" s="10"/>
      <c r="HH99" s="10"/>
      <c r="HI99" s="10"/>
      <c r="HJ99" s="10"/>
      <c r="HK99" s="10"/>
      <c r="HL99" s="10"/>
      <c r="HM99" s="10"/>
      <c r="HN99" s="10"/>
      <c r="HO99" s="10"/>
      <c r="HP99" s="10"/>
      <c r="HQ99" s="10"/>
      <c r="HR99" s="10"/>
      <c r="HS99" s="10"/>
      <c r="HT99" s="10"/>
      <c r="HU99" s="10"/>
      <c r="HV99" s="10"/>
      <c r="HW99" s="10"/>
      <c r="HX99" s="10"/>
      <c r="HY99" s="10"/>
      <c r="HZ99" s="10"/>
      <c r="IA99" s="10"/>
      <c r="IB99" s="10"/>
      <c r="IC99" s="10"/>
      <c r="ID99" s="10"/>
      <c r="IE99" s="10"/>
      <c r="IF99" s="10"/>
      <c r="IG99" s="10"/>
      <c r="IH99" s="10"/>
      <c r="II99" s="10"/>
      <c r="IJ99" s="9"/>
      <c r="IK99" s="9"/>
      <c r="IL99" s="9"/>
      <c r="IM99" s="9"/>
      <c r="IN99" s="9"/>
      <c r="IO99" s="9"/>
      <c r="IP99" s="9"/>
      <c r="IQ99" s="9"/>
      <c r="IR99" s="9"/>
      <c r="IS99" s="9"/>
      <c r="IT99" s="9"/>
      <c r="IU99" s="9"/>
      <c r="IV99" s="9"/>
      <c r="IW99" s="9"/>
      <c r="IX99" s="9"/>
      <c r="IY99" s="9"/>
      <c r="IZ99" s="9"/>
      <c r="JA99" s="9"/>
      <c r="JB99" s="9"/>
      <c r="JC99" s="9"/>
      <c r="JD99" s="9"/>
      <c r="JE99" s="9"/>
      <c r="JF99" s="9"/>
      <c r="JG99" s="9"/>
      <c r="JH99" s="9"/>
      <c r="JI99" s="9"/>
      <c r="JJ99" s="9"/>
      <c r="JK99" s="9"/>
      <c r="JL99" s="9"/>
      <c r="JM99" s="9"/>
      <c r="JN99" s="9"/>
      <c r="JO99" s="9"/>
      <c r="JP99" s="9"/>
      <c r="JQ99" s="9"/>
      <c r="JR99" s="9"/>
      <c r="JS99" s="9"/>
      <c r="JT99" s="9"/>
      <c r="JU99" s="9"/>
      <c r="JV99" s="9"/>
      <c r="JW99" s="9"/>
      <c r="JX99" s="9"/>
      <c r="JY99" s="9"/>
      <c r="JZ99" s="9"/>
      <c r="KA99" s="9"/>
      <c r="KB99" s="9"/>
      <c r="KC99" s="9"/>
      <c r="KD99" s="9"/>
      <c r="KE99" s="9"/>
      <c r="KF99" s="9"/>
      <c r="KG99" s="9"/>
      <c r="KH99" s="9"/>
      <c r="KI99" s="9"/>
      <c r="KJ99" s="9"/>
      <c r="KK99" s="9"/>
      <c r="KL99" s="9"/>
      <c r="KM99" s="9"/>
      <c r="KN99" s="9"/>
      <c r="KO99" s="9"/>
      <c r="KP99" s="9"/>
      <c r="KQ99" s="9"/>
      <c r="KR99" s="9"/>
      <c r="KS99" s="9"/>
      <c r="KT99" s="9"/>
      <c r="KU99" s="9"/>
      <c r="KV99" s="9"/>
      <c r="KW99" s="10"/>
      <c r="KX99" s="10"/>
    </row>
    <row r="100" s="11" customFormat="1" customHeight="1" spans="1:310">
      <c r="A100" s="28">
        <v>45901</v>
      </c>
      <c r="B100" s="32" t="s">
        <v>1022</v>
      </c>
      <c r="C100" s="32" t="s">
        <v>1032</v>
      </c>
      <c r="D100" s="32" t="s">
        <v>134</v>
      </c>
      <c r="E100" s="37" t="s">
        <v>381</v>
      </c>
      <c r="F100" s="29" t="s">
        <v>527</v>
      </c>
      <c r="G100" s="29" t="s">
        <v>528</v>
      </c>
      <c r="H100" s="32">
        <v>9</v>
      </c>
      <c r="I100" s="32">
        <v>2020</v>
      </c>
      <c r="J100" s="32" t="s">
        <v>1647</v>
      </c>
      <c r="K100" s="32" t="s">
        <v>1646</v>
      </c>
      <c r="L100" s="32">
        <v>11</v>
      </c>
      <c r="M100" s="49" t="s">
        <v>1013</v>
      </c>
      <c r="N100" s="49" t="s">
        <v>1757</v>
      </c>
      <c r="O100" s="32" t="s">
        <v>1758</v>
      </c>
      <c r="P100" s="32" t="s">
        <v>1016</v>
      </c>
      <c r="Q100" s="32" t="s">
        <v>1016</v>
      </c>
      <c r="R100" s="32" t="s">
        <v>1017</v>
      </c>
      <c r="S100" s="38">
        <v>256.84</v>
      </c>
      <c r="T100" s="32">
        <v>25</v>
      </c>
      <c r="U100" s="32" t="s">
        <v>1191</v>
      </c>
      <c r="V100" s="33">
        <f>T100/S100</f>
        <v>0.0973368634169133</v>
      </c>
      <c r="W100" s="32"/>
      <c r="X100" s="32"/>
      <c r="Y100" s="32" t="s">
        <v>1018</v>
      </c>
      <c r="Z100" s="32" t="s">
        <v>1759</v>
      </c>
      <c r="AA100" s="32" t="s">
        <v>36</v>
      </c>
      <c r="AB100" s="32" t="s">
        <v>1760</v>
      </c>
      <c r="AC100" s="32" t="s">
        <v>37</v>
      </c>
      <c r="AD100" s="32" t="s">
        <v>1761</v>
      </c>
      <c r="AE100" s="32"/>
      <c r="AF100" s="32"/>
      <c r="AG100" s="32"/>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c r="IX100" s="10"/>
      <c r="IY100" s="10"/>
      <c r="IZ100" s="10"/>
      <c r="JA100" s="10"/>
      <c r="JB100" s="10"/>
      <c r="JC100" s="10"/>
      <c r="JD100" s="10"/>
      <c r="JE100" s="10"/>
      <c r="JF100" s="10"/>
      <c r="JG100" s="10"/>
      <c r="JH100" s="10"/>
      <c r="JI100" s="10"/>
      <c r="JJ100" s="10"/>
      <c r="JK100" s="10"/>
      <c r="JL100" s="10"/>
      <c r="JM100" s="10"/>
      <c r="JN100" s="10"/>
      <c r="JO100" s="10"/>
      <c r="JP100" s="10"/>
      <c r="JQ100" s="10"/>
      <c r="JR100" s="10"/>
      <c r="JS100" s="10"/>
      <c r="JT100" s="10"/>
      <c r="JU100" s="10"/>
      <c r="JV100" s="10"/>
      <c r="JW100" s="10"/>
      <c r="JX100" s="10"/>
      <c r="JY100" s="10"/>
      <c r="JZ100" s="10"/>
      <c r="KA100" s="10"/>
      <c r="KB100" s="10"/>
      <c r="KC100" s="10"/>
      <c r="KD100" s="10"/>
      <c r="KE100" s="10"/>
      <c r="KF100" s="10"/>
      <c r="KG100" s="10"/>
      <c r="KH100" s="10"/>
      <c r="KI100" s="10"/>
      <c r="KJ100" s="10"/>
      <c r="KK100" s="10"/>
      <c r="KL100" s="10"/>
      <c r="KM100" s="10"/>
      <c r="KN100" s="10"/>
      <c r="KO100" s="10"/>
      <c r="KP100" s="10"/>
      <c r="KQ100" s="10"/>
      <c r="KR100" s="10"/>
      <c r="KS100" s="10"/>
      <c r="KT100" s="10"/>
      <c r="KU100" s="10"/>
      <c r="KV100" s="10"/>
    </row>
    <row r="101" s="12" customFormat="1" customHeight="1" spans="1:310">
      <c r="A101" s="28">
        <v>45901</v>
      </c>
      <c r="B101" s="32" t="s">
        <v>1022</v>
      </c>
      <c r="C101" s="32" t="s">
        <v>1032</v>
      </c>
      <c r="D101" s="32" t="s">
        <v>134</v>
      </c>
      <c r="E101" s="49" t="s">
        <v>903</v>
      </c>
      <c r="F101" s="29" t="s">
        <v>1762</v>
      </c>
      <c r="G101" s="29" t="s">
        <v>1763</v>
      </c>
      <c r="H101" s="32">
        <v>9</v>
      </c>
      <c r="I101" s="49">
        <v>2022</v>
      </c>
      <c r="J101" s="32" t="s">
        <v>1647</v>
      </c>
      <c r="K101" s="32" t="s">
        <v>1646</v>
      </c>
      <c r="L101" s="81" t="s">
        <v>1764</v>
      </c>
      <c r="M101" s="32" t="s">
        <v>1765</v>
      </c>
      <c r="N101" s="32" t="s">
        <v>1766</v>
      </c>
      <c r="O101" s="32" t="s">
        <v>1767</v>
      </c>
      <c r="P101" s="32" t="s">
        <v>1018</v>
      </c>
      <c r="Q101" s="32" t="s">
        <v>1018</v>
      </c>
      <c r="R101" s="32" t="s">
        <v>1017</v>
      </c>
      <c r="S101" s="49">
        <v>357.2</v>
      </c>
      <c r="T101" s="32">
        <v>50</v>
      </c>
      <c r="U101" s="32" t="s">
        <v>1768</v>
      </c>
      <c r="V101" s="33">
        <f>T101/S101</f>
        <v>0.139977603583427</v>
      </c>
      <c r="W101" s="39"/>
      <c r="X101" s="39"/>
      <c r="Y101" s="32" t="s">
        <v>1018</v>
      </c>
      <c r="Z101" s="32" t="s">
        <v>1651</v>
      </c>
      <c r="AA101" s="32" t="s">
        <v>1183</v>
      </c>
      <c r="AB101" s="40" t="s">
        <v>1769</v>
      </c>
      <c r="AC101" s="32" t="s">
        <v>37</v>
      </c>
      <c r="AD101" s="32" t="s">
        <v>1018</v>
      </c>
      <c r="AE101" s="32"/>
      <c r="AF101" s="32"/>
      <c r="AG101" s="32"/>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11"/>
      <c r="EM101" s="11"/>
      <c r="EN101" s="11"/>
      <c r="EO101" s="11"/>
      <c r="EP101" s="11"/>
      <c r="EQ101" s="11"/>
      <c r="ER101" s="11"/>
      <c r="ES101" s="11"/>
      <c r="ET101" s="11"/>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11"/>
      <c r="GF101" s="11"/>
      <c r="GG101" s="11"/>
      <c r="GH101" s="11"/>
      <c r="GI101" s="11"/>
      <c r="GJ101" s="11"/>
      <c r="GK101" s="11"/>
      <c r="GL101" s="11"/>
      <c r="GM101" s="11"/>
      <c r="GN101" s="11"/>
      <c r="GO101" s="11"/>
      <c r="GP101" s="11"/>
      <c r="GQ101" s="11"/>
      <c r="GR101" s="11"/>
      <c r="GS101" s="11"/>
      <c r="GT101" s="11"/>
      <c r="GU101" s="11"/>
      <c r="GV101" s="11"/>
      <c r="GW101" s="11"/>
      <c r="GX101" s="11"/>
      <c r="GY101" s="11"/>
      <c r="GZ101" s="11"/>
      <c r="HA101" s="11"/>
      <c r="HB101" s="11"/>
      <c r="HC101" s="11"/>
      <c r="HD101" s="11"/>
      <c r="HE101" s="11"/>
      <c r="HF101" s="11"/>
      <c r="HG101" s="11"/>
      <c r="HH101" s="11"/>
      <c r="HI101" s="11"/>
      <c r="HJ101" s="11"/>
      <c r="HK101" s="11"/>
      <c r="HL101" s="11"/>
      <c r="HM101" s="11"/>
      <c r="HN101" s="11"/>
      <c r="HO101" s="11"/>
      <c r="HP101" s="11"/>
      <c r="HQ101" s="11"/>
      <c r="HR101" s="11"/>
      <c r="HS101" s="11"/>
      <c r="HT101" s="11"/>
      <c r="HU101" s="11"/>
      <c r="HV101" s="11"/>
      <c r="HW101" s="11"/>
      <c r="HX101" s="11"/>
      <c r="HY101" s="11"/>
      <c r="HZ101" s="11"/>
      <c r="IA101" s="11"/>
      <c r="IB101" s="11"/>
      <c r="IC101" s="11"/>
      <c r="ID101" s="11"/>
      <c r="IE101" s="11"/>
      <c r="IF101" s="11"/>
      <c r="IG101" s="11"/>
      <c r="IH101" s="11"/>
      <c r="II101" s="10"/>
      <c r="IJ101" s="10"/>
      <c r="IK101" s="10"/>
      <c r="IL101" s="10"/>
      <c r="IM101" s="10"/>
      <c r="IN101" s="10"/>
      <c r="IO101" s="10"/>
      <c r="IP101" s="10"/>
      <c r="IQ101" s="10"/>
      <c r="IR101" s="10"/>
      <c r="IS101" s="10"/>
      <c r="IT101" s="10"/>
      <c r="IU101" s="10"/>
      <c r="IV101" s="10"/>
      <c r="IW101" s="10"/>
      <c r="IX101" s="10"/>
      <c r="IY101" s="10"/>
      <c r="IZ101" s="10"/>
      <c r="JA101" s="10"/>
      <c r="JB101" s="10"/>
      <c r="JC101" s="10"/>
      <c r="JD101" s="10"/>
      <c r="JE101" s="10"/>
      <c r="JF101" s="10"/>
      <c r="JG101" s="10"/>
      <c r="JH101" s="10"/>
      <c r="JI101" s="10"/>
      <c r="JJ101" s="10"/>
      <c r="JK101" s="10"/>
      <c r="JL101" s="10"/>
      <c r="JM101" s="10"/>
      <c r="JN101" s="10"/>
      <c r="JO101" s="10"/>
      <c r="JP101" s="10"/>
      <c r="JQ101" s="10"/>
      <c r="JR101" s="10"/>
      <c r="JS101" s="10"/>
      <c r="JT101" s="10"/>
      <c r="JU101" s="10"/>
      <c r="JV101" s="10"/>
      <c r="JW101" s="10"/>
      <c r="JX101" s="10"/>
      <c r="JY101" s="10"/>
      <c r="JZ101" s="10"/>
      <c r="KA101" s="10"/>
      <c r="KB101" s="10"/>
      <c r="KC101" s="10"/>
      <c r="KD101" s="10"/>
      <c r="KE101" s="10"/>
      <c r="KF101" s="10"/>
      <c r="KG101" s="10"/>
      <c r="KH101" s="10"/>
      <c r="KI101" s="10"/>
      <c r="KJ101" s="10"/>
      <c r="KK101" s="10"/>
      <c r="KL101" s="10"/>
      <c r="KM101" s="10"/>
      <c r="KN101" s="10"/>
      <c r="KO101" s="10"/>
      <c r="KP101" s="10"/>
      <c r="KQ101" s="10"/>
      <c r="KR101" s="10"/>
      <c r="KS101" s="10"/>
      <c r="KT101" s="10"/>
      <c r="KU101" s="10"/>
      <c r="KV101" s="10"/>
      <c r="KW101" s="9"/>
      <c r="KX101" s="9"/>
    </row>
    <row r="102" s="12" customFormat="1" customHeight="1" spans="1:310">
      <c r="A102" s="28">
        <v>45901</v>
      </c>
      <c r="B102" s="32" t="s">
        <v>1022</v>
      </c>
      <c r="C102" s="51" t="s">
        <v>1032</v>
      </c>
      <c r="D102" s="51" t="s">
        <v>134</v>
      </c>
      <c r="E102" s="51" t="s">
        <v>903</v>
      </c>
      <c r="F102" s="51" t="s">
        <v>1770</v>
      </c>
      <c r="G102" s="51" t="s">
        <v>1771</v>
      </c>
      <c r="H102" s="51">
        <v>9</v>
      </c>
      <c r="I102" s="51">
        <v>2022</v>
      </c>
      <c r="J102" s="32" t="s">
        <v>1638</v>
      </c>
      <c r="K102" s="32" t="s">
        <v>1772</v>
      </c>
      <c r="L102" s="51">
        <v>12</v>
      </c>
      <c r="M102" s="32" t="s">
        <v>1050</v>
      </c>
      <c r="N102" s="32" t="s">
        <v>1745</v>
      </c>
      <c r="O102" s="51">
        <v>76</v>
      </c>
      <c r="P102" s="51" t="s">
        <v>1016</v>
      </c>
      <c r="Q102" s="51" t="s">
        <v>1018</v>
      </c>
      <c r="R102" s="51" t="s">
        <v>1017</v>
      </c>
      <c r="S102" s="30">
        <v>566.8</v>
      </c>
      <c r="T102" s="29">
        <v>10</v>
      </c>
      <c r="U102" s="29" t="s">
        <v>1533</v>
      </c>
      <c r="V102" s="54">
        <v>0.018</v>
      </c>
      <c r="W102" s="51" t="s">
        <v>1068</v>
      </c>
      <c r="X102" s="51" t="s">
        <v>1068</v>
      </c>
      <c r="Y102" s="51" t="s">
        <v>1018</v>
      </c>
      <c r="Z102" s="51" t="s">
        <v>1651</v>
      </c>
      <c r="AA102" s="51" t="s">
        <v>1642</v>
      </c>
      <c r="AB102" s="51" t="s">
        <v>1773</v>
      </c>
      <c r="AC102" s="51" t="s">
        <v>1204</v>
      </c>
      <c r="AD102" s="51" t="s">
        <v>1018</v>
      </c>
      <c r="AE102" s="51"/>
      <c r="AF102" s="51"/>
      <c r="AG102" s="51" t="s">
        <v>1068</v>
      </c>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0"/>
      <c r="IJ102" s="9"/>
      <c r="IK102" s="9"/>
      <c r="IL102" s="9"/>
      <c r="IM102" s="9"/>
      <c r="IN102" s="9"/>
      <c r="IO102" s="9"/>
      <c r="IP102" s="9"/>
      <c r="IQ102" s="9"/>
      <c r="IR102" s="9"/>
      <c r="IS102" s="9"/>
      <c r="IT102" s="9"/>
      <c r="IU102" s="9"/>
      <c r="IV102" s="9"/>
      <c r="IW102" s="9"/>
      <c r="IX102" s="9"/>
      <c r="IY102" s="9"/>
      <c r="IZ102" s="9"/>
      <c r="JA102" s="9"/>
      <c r="JB102" s="9"/>
      <c r="JC102" s="9"/>
      <c r="JD102" s="9"/>
      <c r="JE102" s="9"/>
      <c r="JF102" s="9"/>
      <c r="JG102" s="9"/>
      <c r="JH102" s="9"/>
      <c r="JI102" s="9"/>
      <c r="JJ102" s="9"/>
      <c r="JK102" s="9"/>
      <c r="JL102" s="9"/>
      <c r="JM102" s="9"/>
      <c r="JN102" s="9"/>
      <c r="JO102" s="9"/>
      <c r="JP102" s="9"/>
      <c r="JQ102" s="9"/>
      <c r="JR102" s="9"/>
      <c r="JS102" s="9"/>
      <c r="JT102" s="9"/>
      <c r="JU102" s="9"/>
      <c r="JV102" s="9"/>
      <c r="JW102" s="9"/>
      <c r="JX102" s="9"/>
      <c r="JY102" s="9"/>
      <c r="JZ102" s="9"/>
      <c r="KA102" s="9"/>
      <c r="KB102" s="9"/>
      <c r="KC102" s="9"/>
      <c r="KD102" s="9"/>
      <c r="KE102" s="9"/>
      <c r="KF102" s="9"/>
      <c r="KG102" s="9"/>
      <c r="KH102" s="9"/>
      <c r="KI102" s="9"/>
      <c r="KJ102" s="9"/>
      <c r="KK102" s="9"/>
      <c r="KL102" s="9"/>
      <c r="KM102" s="9"/>
      <c r="KN102" s="9"/>
      <c r="KO102" s="9"/>
      <c r="KP102" s="9"/>
      <c r="KQ102" s="9"/>
      <c r="KR102" s="9"/>
      <c r="KS102" s="9"/>
      <c r="KT102" s="9"/>
      <c r="KU102" s="9"/>
      <c r="KV102" s="9"/>
      <c r="KW102" s="9"/>
      <c r="KX102" s="9"/>
    </row>
    <row r="103" s="11" customFormat="1" customHeight="1" spans="1:310">
      <c r="A103" s="28">
        <v>45901</v>
      </c>
      <c r="B103" s="32" t="s">
        <v>1022</v>
      </c>
      <c r="C103" s="32" t="s">
        <v>1032</v>
      </c>
      <c r="D103" s="32" t="s">
        <v>1042</v>
      </c>
      <c r="E103" s="37" t="s">
        <v>877</v>
      </c>
      <c r="F103" s="42" t="s">
        <v>1774</v>
      </c>
      <c r="G103" s="42" t="s">
        <v>1775</v>
      </c>
      <c r="H103" s="32">
        <v>9</v>
      </c>
      <c r="I103" s="32">
        <v>2020</v>
      </c>
      <c r="J103" s="32" t="s">
        <v>1776</v>
      </c>
      <c r="K103" s="32" t="s">
        <v>1012</v>
      </c>
      <c r="L103" s="32" t="s">
        <v>1777</v>
      </c>
      <c r="M103" s="49" t="s">
        <v>1778</v>
      </c>
      <c r="N103" s="49" t="s">
        <v>1779</v>
      </c>
      <c r="O103" s="32" t="s">
        <v>1780</v>
      </c>
      <c r="P103" s="32" t="s">
        <v>1018</v>
      </c>
      <c r="Q103" s="32" t="s">
        <v>1018</v>
      </c>
      <c r="R103" s="32" t="s">
        <v>1017</v>
      </c>
      <c r="S103" s="38">
        <v>1027</v>
      </c>
      <c r="T103" s="32">
        <v>212.3</v>
      </c>
      <c r="U103" s="32" t="s">
        <v>1781</v>
      </c>
      <c r="V103" s="33">
        <f>T103/S103</f>
        <v>0.206718597857838</v>
      </c>
      <c r="W103" s="32"/>
      <c r="X103" s="32"/>
      <c r="Y103" s="32" t="s">
        <v>1782</v>
      </c>
      <c r="Z103" s="32" t="s">
        <v>1783</v>
      </c>
      <c r="AA103" s="32" t="s">
        <v>1594</v>
      </c>
      <c r="AB103" s="32">
        <v>0.8</v>
      </c>
      <c r="AC103" s="32" t="s">
        <v>1784</v>
      </c>
      <c r="AD103" s="32" t="s">
        <v>1016</v>
      </c>
      <c r="AE103" s="32"/>
      <c r="AF103" s="32"/>
      <c r="AG103" s="32" t="s">
        <v>1785</v>
      </c>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c r="FZ103" s="10"/>
      <c r="GA103" s="10"/>
      <c r="GB103" s="10"/>
      <c r="GC103" s="10"/>
      <c r="GD103" s="10"/>
      <c r="GE103" s="10"/>
      <c r="GF103" s="10"/>
      <c r="GG103" s="10"/>
      <c r="GH103" s="10"/>
      <c r="GI103" s="10"/>
      <c r="GJ103" s="10"/>
      <c r="GK103" s="10"/>
      <c r="GL103" s="10"/>
      <c r="GM103" s="10"/>
      <c r="GN103" s="10"/>
      <c r="GO103" s="10"/>
      <c r="GP103" s="10"/>
      <c r="GQ103" s="10"/>
      <c r="GR103" s="10"/>
      <c r="GS103" s="10"/>
      <c r="GT103" s="10"/>
      <c r="GU103" s="10"/>
      <c r="GV103" s="10"/>
      <c r="GW103" s="10"/>
      <c r="GX103" s="10"/>
      <c r="GY103" s="10"/>
      <c r="GZ103" s="10"/>
      <c r="HA103" s="10"/>
      <c r="HB103" s="10"/>
      <c r="HC103" s="10"/>
      <c r="HD103" s="10"/>
      <c r="HE103" s="10"/>
      <c r="HF103" s="10"/>
      <c r="HG103" s="10"/>
      <c r="HH103" s="10"/>
      <c r="HI103" s="10"/>
      <c r="HJ103" s="10"/>
      <c r="HK103" s="10"/>
      <c r="HL103" s="10"/>
      <c r="HM103" s="10"/>
      <c r="HN103" s="10"/>
      <c r="HO103" s="10"/>
      <c r="HP103" s="10"/>
      <c r="HQ103" s="10"/>
      <c r="HR103" s="10"/>
      <c r="HS103" s="10"/>
      <c r="HT103" s="10"/>
      <c r="HU103" s="10"/>
      <c r="HV103" s="10"/>
      <c r="HW103" s="10"/>
      <c r="HX103" s="10"/>
      <c r="HY103" s="10"/>
      <c r="HZ103" s="10"/>
      <c r="IA103" s="10"/>
      <c r="IB103" s="10"/>
      <c r="IC103" s="10"/>
      <c r="ID103" s="10"/>
      <c r="IE103" s="10"/>
      <c r="IF103" s="10"/>
      <c r="IG103" s="10"/>
      <c r="IH103" s="10"/>
      <c r="II103" s="10"/>
      <c r="IJ103" s="10"/>
      <c r="IK103" s="10"/>
      <c r="IL103" s="10"/>
      <c r="IM103" s="10"/>
      <c r="IN103" s="10"/>
      <c r="IO103" s="10"/>
      <c r="IP103" s="10"/>
      <c r="IQ103" s="10"/>
      <c r="IR103" s="10"/>
      <c r="IS103" s="10"/>
      <c r="IT103" s="10"/>
      <c r="IU103" s="10"/>
      <c r="IV103" s="10"/>
      <c r="IW103" s="10"/>
      <c r="IX103" s="10"/>
      <c r="IY103" s="10"/>
      <c r="IZ103" s="10"/>
      <c r="JA103" s="10"/>
      <c r="JB103" s="10"/>
      <c r="JC103" s="10"/>
      <c r="JD103" s="10"/>
      <c r="JE103" s="10"/>
      <c r="JF103" s="10"/>
      <c r="JG103" s="10"/>
      <c r="JH103" s="10"/>
      <c r="JI103" s="10"/>
      <c r="JJ103" s="10"/>
      <c r="JK103" s="10"/>
      <c r="JL103" s="10"/>
      <c r="JM103" s="10"/>
      <c r="JN103" s="10"/>
      <c r="JO103" s="10"/>
      <c r="JP103" s="10"/>
      <c r="JQ103" s="10"/>
      <c r="JR103" s="10"/>
      <c r="JS103" s="10"/>
      <c r="JT103" s="10"/>
      <c r="JU103" s="10"/>
      <c r="JV103" s="10"/>
      <c r="JW103" s="10"/>
      <c r="JX103" s="10"/>
      <c r="JY103" s="10"/>
      <c r="JZ103" s="10"/>
      <c r="KA103" s="10"/>
      <c r="KB103" s="10"/>
      <c r="KC103" s="10"/>
      <c r="KD103" s="10"/>
      <c r="KE103" s="10"/>
      <c r="KF103" s="10"/>
      <c r="KG103" s="10"/>
      <c r="KH103" s="10"/>
      <c r="KI103" s="10"/>
      <c r="KJ103" s="10"/>
      <c r="KK103" s="10"/>
      <c r="KL103" s="10"/>
      <c r="KM103" s="10"/>
      <c r="KN103" s="10"/>
      <c r="KO103" s="10"/>
      <c r="KP103" s="10"/>
      <c r="KQ103" s="10"/>
      <c r="KR103" s="10"/>
      <c r="KS103" s="10"/>
      <c r="KT103" s="10"/>
      <c r="KU103" s="10"/>
      <c r="KV103" s="10"/>
    </row>
    <row r="104" s="12" customFormat="1" customHeight="1" spans="1:310">
      <c r="A104" s="28">
        <v>45901</v>
      </c>
      <c r="B104" s="32" t="s">
        <v>1022</v>
      </c>
      <c r="C104" s="32" t="s">
        <v>1032</v>
      </c>
      <c r="D104" s="32" t="s">
        <v>1042</v>
      </c>
      <c r="E104" s="37" t="s">
        <v>877</v>
      </c>
      <c r="F104" s="42" t="s">
        <v>877</v>
      </c>
      <c r="G104" s="42" t="s">
        <v>1786</v>
      </c>
      <c r="H104" s="32">
        <v>9</v>
      </c>
      <c r="I104" s="32">
        <v>2020</v>
      </c>
      <c r="J104" s="32" t="s">
        <v>1787</v>
      </c>
      <c r="K104" s="32" t="s">
        <v>1012</v>
      </c>
      <c r="L104" s="32">
        <v>1</v>
      </c>
      <c r="M104" s="49" t="s">
        <v>1013</v>
      </c>
      <c r="N104" s="49" t="s">
        <v>1014</v>
      </c>
      <c r="O104" s="32" t="s">
        <v>1788</v>
      </c>
      <c r="P104" s="32" t="s">
        <v>1018</v>
      </c>
      <c r="Q104" s="32" t="s">
        <v>1018</v>
      </c>
      <c r="R104" s="32" t="s">
        <v>1017</v>
      </c>
      <c r="S104" s="49">
        <v>1027</v>
      </c>
      <c r="T104" s="32">
        <v>338</v>
      </c>
      <c r="U104" s="32">
        <v>2025.4</v>
      </c>
      <c r="V104" s="33">
        <v>0.09</v>
      </c>
      <c r="W104" s="32"/>
      <c r="X104" s="32" t="s">
        <v>1789</v>
      </c>
      <c r="Y104" s="32" t="s">
        <v>1174</v>
      </c>
      <c r="Z104" s="32" t="s">
        <v>1790</v>
      </c>
      <c r="AA104" s="32" t="s">
        <v>1791</v>
      </c>
      <c r="AB104" s="32" t="s">
        <v>1792</v>
      </c>
      <c r="AC104" s="32" t="s">
        <v>1793</v>
      </c>
      <c r="AD104" s="32" t="s">
        <v>1018</v>
      </c>
      <c r="AE104" s="32"/>
      <c r="AF104" s="32"/>
      <c r="AG104" s="50" t="s">
        <v>1081</v>
      </c>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c r="FQ104" s="10"/>
      <c r="FR104" s="10"/>
      <c r="FS104" s="10"/>
      <c r="FT104" s="10"/>
      <c r="FU104" s="10"/>
      <c r="FV104" s="10"/>
      <c r="FW104" s="10"/>
      <c r="FX104" s="10"/>
      <c r="FY104" s="10"/>
      <c r="FZ104" s="10"/>
      <c r="GA104" s="10"/>
      <c r="GB104" s="10"/>
      <c r="GC104" s="10"/>
      <c r="GD104" s="10"/>
      <c r="GE104" s="10"/>
      <c r="GF104" s="10"/>
      <c r="GG104" s="10"/>
      <c r="GH104" s="10"/>
      <c r="GI104" s="10"/>
      <c r="GJ104" s="10"/>
      <c r="GK104" s="10"/>
      <c r="GL104" s="10"/>
      <c r="GM104" s="10"/>
      <c r="GN104" s="10"/>
      <c r="GO104" s="10"/>
      <c r="GP104" s="10"/>
      <c r="GQ104" s="10"/>
      <c r="GR104" s="10"/>
      <c r="GS104" s="10"/>
      <c r="GT104" s="10"/>
      <c r="GU104" s="10"/>
      <c r="GV104" s="10"/>
      <c r="GW104" s="10"/>
      <c r="GX104" s="10"/>
      <c r="GY104" s="10"/>
      <c r="GZ104" s="10"/>
      <c r="HA104" s="10"/>
      <c r="HB104" s="10"/>
      <c r="HC104" s="10"/>
      <c r="HD104" s="10"/>
      <c r="HE104" s="10"/>
      <c r="HF104" s="10"/>
      <c r="HG104" s="10"/>
      <c r="HH104" s="10"/>
      <c r="HI104" s="10"/>
      <c r="HJ104" s="10"/>
      <c r="HK104" s="10"/>
      <c r="HL104" s="10"/>
      <c r="HM104" s="10"/>
      <c r="HN104" s="10"/>
      <c r="HO104" s="10"/>
      <c r="HP104" s="10"/>
      <c r="HQ104" s="10"/>
      <c r="HR104" s="10"/>
      <c r="HS104" s="10"/>
      <c r="HT104" s="10"/>
      <c r="HU104" s="10"/>
      <c r="HV104" s="10"/>
      <c r="HW104" s="10"/>
      <c r="HX104" s="10"/>
      <c r="HY104" s="10"/>
      <c r="HZ104" s="10"/>
      <c r="IA104" s="10"/>
      <c r="IB104" s="10"/>
      <c r="IC104" s="10"/>
      <c r="ID104" s="10"/>
      <c r="IE104" s="10"/>
      <c r="IF104" s="10"/>
      <c r="IG104" s="10"/>
      <c r="IH104" s="10"/>
      <c r="II104" s="10"/>
      <c r="IJ104" s="10"/>
      <c r="IK104" s="10"/>
      <c r="IL104" s="10"/>
      <c r="IM104" s="10"/>
      <c r="IN104" s="10"/>
      <c r="IO104" s="10"/>
      <c r="IP104" s="10"/>
      <c r="IQ104" s="10"/>
      <c r="IR104" s="10"/>
      <c r="IS104" s="10"/>
      <c r="IT104" s="10"/>
      <c r="IU104" s="10"/>
      <c r="IV104" s="10"/>
      <c r="IW104" s="10"/>
      <c r="IX104" s="10"/>
      <c r="IY104" s="10"/>
      <c r="IZ104" s="10"/>
      <c r="JA104" s="10"/>
      <c r="JB104" s="10"/>
      <c r="JC104" s="10"/>
      <c r="JD104" s="10"/>
      <c r="JE104" s="10"/>
      <c r="JF104" s="10"/>
      <c r="JG104" s="10"/>
      <c r="JH104" s="10"/>
      <c r="JI104" s="10"/>
      <c r="JJ104" s="10"/>
      <c r="JK104" s="10"/>
      <c r="JL104" s="10"/>
      <c r="JM104" s="10"/>
      <c r="JN104" s="10"/>
      <c r="JO104" s="10"/>
      <c r="JP104" s="10"/>
      <c r="JQ104" s="10"/>
      <c r="JR104" s="10"/>
      <c r="JS104" s="10"/>
      <c r="JT104" s="10"/>
      <c r="JU104" s="10"/>
      <c r="JV104" s="10"/>
      <c r="JW104" s="10"/>
      <c r="JX104" s="10"/>
      <c r="JY104" s="10"/>
      <c r="JZ104" s="10"/>
      <c r="KA104" s="10"/>
      <c r="KB104" s="10"/>
      <c r="KC104" s="10"/>
      <c r="KD104" s="10"/>
      <c r="KE104" s="10"/>
      <c r="KF104" s="10"/>
      <c r="KG104" s="10"/>
      <c r="KH104" s="10"/>
      <c r="KI104" s="10"/>
      <c r="KJ104" s="10"/>
      <c r="KK104" s="10"/>
      <c r="KL104" s="10"/>
      <c r="KM104" s="10"/>
      <c r="KN104" s="10"/>
      <c r="KO104" s="10"/>
      <c r="KP104" s="10"/>
      <c r="KQ104" s="10"/>
      <c r="KR104" s="10"/>
      <c r="KS104" s="10"/>
      <c r="KT104" s="10"/>
      <c r="KU104" s="10"/>
      <c r="KV104" s="10"/>
      <c r="KW104" s="11"/>
      <c r="KX104" s="11"/>
    </row>
    <row r="105" s="11" customFormat="1" customHeight="1" spans="1:310">
      <c r="A105" s="28">
        <v>45901</v>
      </c>
      <c r="B105" s="32" t="s">
        <v>1022</v>
      </c>
      <c r="C105" s="32" t="s">
        <v>1057</v>
      </c>
      <c r="D105" s="32" t="s">
        <v>134</v>
      </c>
      <c r="E105" s="37" t="s">
        <v>869</v>
      </c>
      <c r="F105" s="42" t="s">
        <v>1794</v>
      </c>
      <c r="G105" s="42" t="s">
        <v>1795</v>
      </c>
      <c r="H105" s="32">
        <v>9</v>
      </c>
      <c r="I105" s="32">
        <v>2022</v>
      </c>
      <c r="J105" s="32" t="s">
        <v>1796</v>
      </c>
      <c r="K105" s="32" t="s">
        <v>1012</v>
      </c>
      <c r="L105" s="32">
        <v>1</v>
      </c>
      <c r="M105" s="49" t="s">
        <v>1013</v>
      </c>
      <c r="N105" s="49" t="s">
        <v>1014</v>
      </c>
      <c r="O105" s="32">
        <v>89</v>
      </c>
      <c r="P105" s="32" t="s">
        <v>1018</v>
      </c>
      <c r="Q105" s="32" t="s">
        <v>1018</v>
      </c>
      <c r="R105" s="32" t="s">
        <v>1017</v>
      </c>
      <c r="S105" s="49">
        <v>578.82</v>
      </c>
      <c r="T105" s="32">
        <f>213/3</f>
        <v>71</v>
      </c>
      <c r="U105" s="32">
        <v>2025.9</v>
      </c>
      <c r="V105" s="33">
        <f>T105/S105</f>
        <v>0.12266334957327</v>
      </c>
      <c r="W105" s="32"/>
      <c r="X105" s="32" t="s">
        <v>1797</v>
      </c>
      <c r="Y105" s="32" t="s">
        <v>1018</v>
      </c>
      <c r="Z105" s="32" t="s">
        <v>1593</v>
      </c>
      <c r="AA105" s="32" t="s">
        <v>36</v>
      </c>
      <c r="AB105" s="32" t="s">
        <v>1798</v>
      </c>
      <c r="AC105" s="32" t="s">
        <v>37</v>
      </c>
      <c r="AD105" s="32" t="s">
        <v>1018</v>
      </c>
      <c r="AE105" s="32"/>
      <c r="AF105" s="32"/>
      <c r="AG105" s="41" t="s">
        <v>1799</v>
      </c>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c r="FQ105" s="10"/>
      <c r="FR105" s="10"/>
      <c r="FS105" s="10"/>
      <c r="FT105" s="10"/>
      <c r="FU105" s="10"/>
      <c r="FV105" s="10"/>
      <c r="FW105" s="10"/>
      <c r="FX105" s="10"/>
      <c r="FY105" s="10"/>
      <c r="FZ105" s="10"/>
      <c r="GA105" s="10"/>
      <c r="GB105" s="10"/>
      <c r="GC105" s="10"/>
      <c r="GD105" s="10"/>
      <c r="GE105" s="10"/>
      <c r="GF105" s="10"/>
      <c r="GG105" s="10"/>
      <c r="GH105" s="10"/>
      <c r="GI105" s="10"/>
      <c r="GJ105" s="10"/>
      <c r="GK105" s="10"/>
      <c r="GL105" s="10"/>
      <c r="GM105" s="10"/>
      <c r="GN105" s="10"/>
      <c r="GO105" s="10"/>
      <c r="GP105" s="10"/>
      <c r="GQ105" s="10"/>
      <c r="GR105" s="10"/>
      <c r="GS105" s="10"/>
      <c r="GT105" s="10"/>
      <c r="GU105" s="10"/>
      <c r="GV105" s="10"/>
      <c r="GW105" s="10"/>
      <c r="GX105" s="10"/>
      <c r="GY105" s="10"/>
      <c r="GZ105" s="10"/>
      <c r="HA105" s="10"/>
      <c r="HB105" s="10"/>
      <c r="HC105" s="10"/>
      <c r="HD105" s="10"/>
      <c r="HE105" s="10"/>
      <c r="HF105" s="10"/>
      <c r="HG105" s="10"/>
      <c r="HH105" s="10"/>
      <c r="HI105" s="10"/>
      <c r="HJ105" s="10"/>
      <c r="HK105" s="10"/>
      <c r="HL105" s="10"/>
      <c r="HM105" s="10"/>
      <c r="HN105" s="10"/>
      <c r="HO105" s="10"/>
      <c r="HP105" s="10"/>
      <c r="HQ105" s="10"/>
      <c r="HR105" s="10"/>
      <c r="HS105" s="10"/>
      <c r="HT105" s="10"/>
      <c r="HU105" s="10"/>
      <c r="HV105" s="10"/>
      <c r="HW105" s="10"/>
      <c r="HX105" s="10"/>
      <c r="HY105" s="10"/>
      <c r="HZ105" s="10"/>
      <c r="IA105" s="10"/>
      <c r="IB105" s="10"/>
      <c r="IC105" s="10"/>
      <c r="ID105" s="10"/>
      <c r="IE105" s="10"/>
      <c r="IF105" s="10"/>
      <c r="IG105" s="10"/>
      <c r="IH105" s="10"/>
      <c r="II105" s="10"/>
      <c r="IJ105" s="10"/>
      <c r="IK105" s="10"/>
      <c r="IL105" s="10"/>
      <c r="IM105" s="10"/>
      <c r="IN105" s="10"/>
      <c r="IO105" s="10"/>
      <c r="IP105" s="10"/>
      <c r="IQ105" s="10"/>
      <c r="IR105" s="10"/>
      <c r="IS105" s="10"/>
      <c r="IT105" s="10"/>
      <c r="IU105" s="10"/>
      <c r="IV105" s="10"/>
      <c r="IW105" s="10"/>
      <c r="IX105" s="10"/>
      <c r="IY105" s="10"/>
      <c r="IZ105" s="10"/>
      <c r="JA105" s="10"/>
      <c r="JB105" s="10"/>
      <c r="JC105" s="10"/>
      <c r="JD105" s="10"/>
      <c r="JE105" s="10"/>
      <c r="JF105" s="10"/>
      <c r="JG105" s="10"/>
      <c r="JH105" s="10"/>
      <c r="JI105" s="10"/>
      <c r="JJ105" s="10"/>
      <c r="JK105" s="10"/>
      <c r="JL105" s="10"/>
      <c r="JM105" s="10"/>
      <c r="JN105" s="10"/>
      <c r="JO105" s="10"/>
      <c r="JP105" s="10"/>
      <c r="JQ105" s="10"/>
      <c r="JR105" s="10"/>
      <c r="JS105" s="10"/>
      <c r="JT105" s="10"/>
      <c r="JU105" s="10"/>
      <c r="JV105" s="10"/>
      <c r="JW105" s="10"/>
      <c r="JX105" s="10"/>
      <c r="JY105" s="10"/>
      <c r="JZ105" s="10"/>
      <c r="KA105" s="10"/>
      <c r="KB105" s="10"/>
      <c r="KC105" s="10"/>
      <c r="KD105" s="10"/>
      <c r="KE105" s="10"/>
      <c r="KF105" s="10"/>
      <c r="KG105" s="10"/>
      <c r="KH105" s="10"/>
      <c r="KI105" s="10"/>
      <c r="KJ105" s="10"/>
      <c r="KK105" s="10"/>
      <c r="KL105" s="10"/>
      <c r="KM105" s="10"/>
      <c r="KN105" s="10"/>
      <c r="KO105" s="10"/>
      <c r="KP105" s="10"/>
      <c r="KQ105" s="10"/>
      <c r="KR105" s="10"/>
      <c r="KS105" s="10"/>
      <c r="KT105" s="10"/>
      <c r="KU105" s="10"/>
      <c r="KV105" s="10"/>
    </row>
    <row r="106" s="11" customFormat="1" customHeight="1" spans="1:310">
      <c r="A106" s="28">
        <v>45901</v>
      </c>
      <c r="B106" s="32" t="s">
        <v>1022</v>
      </c>
      <c r="C106" s="32" t="s">
        <v>1057</v>
      </c>
      <c r="D106" s="32" t="s">
        <v>134</v>
      </c>
      <c r="E106" s="37" t="s">
        <v>869</v>
      </c>
      <c r="F106" s="29" t="s">
        <v>1800</v>
      </c>
      <c r="G106" s="29" t="s">
        <v>1801</v>
      </c>
      <c r="H106" s="32">
        <v>9</v>
      </c>
      <c r="I106" s="32">
        <v>2022</v>
      </c>
      <c r="J106" s="32" t="s">
        <v>1787</v>
      </c>
      <c r="K106" s="32" t="s">
        <v>1735</v>
      </c>
      <c r="L106" s="32" t="s">
        <v>1802</v>
      </c>
      <c r="M106" s="49" t="s">
        <v>1803</v>
      </c>
      <c r="N106" s="49" t="s">
        <v>1804</v>
      </c>
      <c r="O106" s="32">
        <v>100</v>
      </c>
      <c r="P106" s="32" t="s">
        <v>1018</v>
      </c>
      <c r="Q106" s="32" t="s">
        <v>1018</v>
      </c>
      <c r="R106" s="32" t="s">
        <v>1017</v>
      </c>
      <c r="S106" s="49">
        <v>43.41</v>
      </c>
      <c r="T106" s="32">
        <v>14.5</v>
      </c>
      <c r="U106" s="32">
        <v>2023</v>
      </c>
      <c r="V106" s="33">
        <f>T106/S106</f>
        <v>0.334024418336789</v>
      </c>
      <c r="W106" s="32"/>
      <c r="X106" s="32"/>
      <c r="Y106" s="32" t="s">
        <v>1018</v>
      </c>
      <c r="Z106" s="32" t="s">
        <v>1805</v>
      </c>
      <c r="AA106" s="32" t="s">
        <v>36</v>
      </c>
      <c r="AB106" s="32" t="s">
        <v>1806</v>
      </c>
      <c r="AC106" s="32" t="s">
        <v>1807</v>
      </c>
      <c r="AD106" s="32" t="s">
        <v>1018</v>
      </c>
      <c r="AE106" s="32"/>
      <c r="AF106" s="32"/>
      <c r="AG106" s="41" t="s">
        <v>1808</v>
      </c>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c r="FQ106" s="10"/>
      <c r="FR106" s="10"/>
      <c r="FS106" s="10"/>
      <c r="FT106" s="10"/>
      <c r="FU106" s="10"/>
      <c r="FV106" s="10"/>
      <c r="FW106" s="10"/>
      <c r="FX106" s="10"/>
      <c r="FY106" s="10"/>
      <c r="FZ106" s="10"/>
      <c r="GA106" s="10"/>
      <c r="GB106" s="10"/>
      <c r="GC106" s="10"/>
      <c r="GD106" s="10"/>
      <c r="GE106" s="10"/>
      <c r="GF106" s="10"/>
      <c r="GG106" s="10"/>
      <c r="GH106" s="10"/>
      <c r="GI106" s="10"/>
      <c r="GJ106" s="10"/>
      <c r="GK106" s="10"/>
      <c r="GL106" s="10"/>
      <c r="GM106" s="10"/>
      <c r="GN106" s="10"/>
      <c r="GO106" s="10"/>
      <c r="GP106" s="10"/>
      <c r="GQ106" s="10"/>
      <c r="GR106" s="10"/>
      <c r="GS106" s="10"/>
      <c r="GT106" s="10"/>
      <c r="GU106" s="10"/>
      <c r="GV106" s="10"/>
      <c r="GW106" s="10"/>
      <c r="GX106" s="10"/>
      <c r="GY106" s="10"/>
      <c r="GZ106" s="10"/>
      <c r="HA106" s="10"/>
      <c r="HB106" s="10"/>
      <c r="HC106" s="10"/>
      <c r="HD106" s="10"/>
      <c r="HE106" s="10"/>
      <c r="HF106" s="10"/>
      <c r="HG106" s="10"/>
      <c r="HH106" s="10"/>
      <c r="HI106" s="10"/>
      <c r="HJ106" s="10"/>
      <c r="HK106" s="10"/>
      <c r="HL106" s="10"/>
      <c r="HM106" s="10"/>
      <c r="HN106" s="10"/>
      <c r="HO106" s="10"/>
      <c r="HP106" s="10"/>
      <c r="HQ106" s="10"/>
      <c r="HR106" s="10"/>
      <c r="HS106" s="10"/>
      <c r="HT106" s="10"/>
      <c r="HU106" s="10"/>
      <c r="HV106" s="10"/>
      <c r="HW106" s="10"/>
      <c r="HX106" s="10"/>
      <c r="HY106" s="10"/>
      <c r="HZ106" s="10"/>
      <c r="IA106" s="10"/>
      <c r="IB106" s="10"/>
      <c r="IC106" s="10"/>
      <c r="ID106" s="10"/>
      <c r="IE106" s="10"/>
      <c r="IF106" s="10"/>
      <c r="IG106" s="10"/>
      <c r="IH106" s="10"/>
      <c r="II106" s="10"/>
      <c r="IJ106" s="10"/>
      <c r="IK106" s="10"/>
      <c r="IL106" s="10"/>
      <c r="IM106" s="10"/>
      <c r="IN106" s="10"/>
      <c r="IO106" s="10"/>
      <c r="IP106" s="10"/>
      <c r="IQ106" s="10"/>
      <c r="IR106" s="10"/>
      <c r="IS106" s="10"/>
      <c r="IT106" s="10"/>
      <c r="IU106" s="10"/>
      <c r="IV106" s="10"/>
      <c r="IW106" s="10"/>
      <c r="IX106" s="10"/>
      <c r="IY106" s="10"/>
      <c r="IZ106" s="10"/>
      <c r="JA106" s="10"/>
      <c r="JB106" s="10"/>
      <c r="JC106" s="10"/>
      <c r="JD106" s="10"/>
      <c r="JE106" s="10"/>
      <c r="JF106" s="10"/>
      <c r="JG106" s="10"/>
      <c r="JH106" s="10"/>
      <c r="JI106" s="10"/>
      <c r="JJ106" s="10"/>
      <c r="JK106" s="10"/>
      <c r="JL106" s="10"/>
      <c r="JM106" s="10"/>
      <c r="JN106" s="10"/>
      <c r="JO106" s="10"/>
      <c r="JP106" s="10"/>
      <c r="JQ106" s="10"/>
      <c r="JR106" s="10"/>
      <c r="JS106" s="10"/>
      <c r="JT106" s="10"/>
      <c r="JU106" s="10"/>
      <c r="JV106" s="10"/>
      <c r="JW106" s="10"/>
      <c r="JX106" s="10"/>
      <c r="JY106" s="10"/>
      <c r="JZ106" s="10"/>
      <c r="KA106" s="10"/>
      <c r="KB106" s="10"/>
      <c r="KC106" s="10"/>
      <c r="KD106" s="10"/>
      <c r="KE106" s="10"/>
      <c r="KF106" s="10"/>
      <c r="KG106" s="10"/>
      <c r="KH106" s="10"/>
      <c r="KI106" s="10"/>
      <c r="KJ106" s="10"/>
      <c r="KK106" s="10"/>
      <c r="KL106" s="10"/>
      <c r="KM106" s="10"/>
      <c r="KN106" s="10"/>
      <c r="KO106" s="10"/>
      <c r="KP106" s="10"/>
      <c r="KQ106" s="10"/>
      <c r="KR106" s="10"/>
      <c r="KS106" s="10"/>
      <c r="KT106" s="10"/>
      <c r="KU106" s="10"/>
      <c r="KV106" s="10"/>
    </row>
    <row r="107" s="9" customFormat="1" customHeight="1" spans="1:310">
      <c r="A107" s="28">
        <v>45901</v>
      </c>
      <c r="B107" s="32" t="s">
        <v>1022</v>
      </c>
      <c r="C107" s="32" t="s">
        <v>1150</v>
      </c>
      <c r="D107" s="32" t="s">
        <v>1151</v>
      </c>
      <c r="E107" s="49" t="s">
        <v>114</v>
      </c>
      <c r="F107" s="29" t="s">
        <v>114</v>
      </c>
      <c r="G107" s="29" t="s">
        <v>1809</v>
      </c>
      <c r="H107" s="32">
        <v>9</v>
      </c>
      <c r="I107" s="32">
        <v>2021</v>
      </c>
      <c r="J107" s="32" t="s">
        <v>1638</v>
      </c>
      <c r="K107" s="32" t="s">
        <v>1646</v>
      </c>
      <c r="L107" s="32">
        <v>1</v>
      </c>
      <c r="M107" s="49" t="s">
        <v>1013</v>
      </c>
      <c r="N107" s="49" t="s">
        <v>1014</v>
      </c>
      <c r="O107" s="32" t="s">
        <v>1810</v>
      </c>
      <c r="P107" s="32" t="s">
        <v>1018</v>
      </c>
      <c r="Q107" s="32" t="s">
        <v>1016</v>
      </c>
      <c r="R107" s="32" t="s">
        <v>1017</v>
      </c>
      <c r="S107" s="32">
        <v>8474.8</v>
      </c>
      <c r="T107" s="32">
        <v>300</v>
      </c>
      <c r="U107" s="36" t="s">
        <v>1811</v>
      </c>
      <c r="V107" s="33">
        <v>0.07</v>
      </c>
      <c r="W107" s="39">
        <v>1.4</v>
      </c>
      <c r="X107" s="39" t="s">
        <v>1812</v>
      </c>
      <c r="Y107" s="32" t="s">
        <v>1018</v>
      </c>
      <c r="Z107" s="32" t="s">
        <v>1813</v>
      </c>
      <c r="AA107" s="32" t="s">
        <v>1814</v>
      </c>
      <c r="AB107" s="32" t="s">
        <v>1815</v>
      </c>
      <c r="AC107" s="32" t="s">
        <v>1204</v>
      </c>
      <c r="AD107" s="32" t="s">
        <v>1018</v>
      </c>
      <c r="AE107" s="83" t="s">
        <v>134</v>
      </c>
      <c r="AF107" s="84" t="s">
        <v>1018</v>
      </c>
      <c r="AG107" s="41" t="s">
        <v>1816</v>
      </c>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94"/>
      <c r="EM107" s="94"/>
      <c r="EN107" s="94"/>
      <c r="EO107" s="94"/>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c r="FL107" s="94"/>
      <c r="FM107" s="94"/>
      <c r="FN107" s="94"/>
      <c r="FO107" s="94"/>
      <c r="FP107" s="94"/>
      <c r="FQ107" s="94"/>
      <c r="FR107" s="94"/>
      <c r="FS107" s="94"/>
      <c r="FT107" s="94"/>
      <c r="FU107" s="94"/>
      <c r="FV107" s="94"/>
      <c r="FW107" s="94"/>
      <c r="FX107" s="94"/>
      <c r="FY107" s="94"/>
      <c r="FZ107" s="94"/>
      <c r="GA107" s="94"/>
      <c r="GB107" s="94"/>
      <c r="GC107" s="94"/>
      <c r="GD107" s="94"/>
      <c r="GE107" s="94"/>
      <c r="GF107" s="94"/>
      <c r="GG107" s="94"/>
      <c r="GH107" s="94"/>
      <c r="GI107" s="94"/>
      <c r="GJ107" s="94"/>
      <c r="GK107" s="94"/>
      <c r="GL107" s="94"/>
      <c r="GM107" s="94"/>
      <c r="GN107" s="94"/>
      <c r="GO107" s="94"/>
      <c r="GP107" s="94"/>
      <c r="GQ107" s="94"/>
      <c r="GR107" s="94"/>
      <c r="GS107" s="94"/>
      <c r="GT107" s="94"/>
      <c r="GU107" s="94"/>
      <c r="GV107" s="94"/>
      <c r="GW107" s="94"/>
      <c r="GX107" s="94"/>
      <c r="GY107" s="94"/>
      <c r="GZ107" s="94"/>
      <c r="HA107" s="94"/>
      <c r="HB107" s="94"/>
      <c r="HC107" s="94"/>
      <c r="HD107" s="94"/>
      <c r="HE107" s="94"/>
      <c r="HF107" s="94"/>
      <c r="HG107" s="94"/>
      <c r="HH107" s="94"/>
      <c r="HI107" s="94"/>
      <c r="HJ107" s="94"/>
      <c r="HK107" s="94"/>
      <c r="HL107" s="94"/>
      <c r="HM107" s="94"/>
      <c r="HN107" s="94"/>
      <c r="HO107" s="94"/>
      <c r="HP107" s="94"/>
      <c r="HQ107" s="94"/>
      <c r="HR107" s="94"/>
      <c r="HS107" s="94"/>
      <c r="HT107" s="94"/>
      <c r="HU107" s="94"/>
      <c r="HV107" s="94"/>
      <c r="HW107" s="94"/>
      <c r="HX107" s="94"/>
      <c r="HY107" s="94"/>
      <c r="HZ107" s="94"/>
      <c r="IA107" s="94"/>
      <c r="IB107" s="94"/>
      <c r="IC107" s="94"/>
      <c r="ID107" s="94"/>
      <c r="IE107" s="94"/>
      <c r="IF107" s="94"/>
      <c r="IG107" s="94"/>
      <c r="IH107" s="94"/>
      <c r="II107" s="11"/>
      <c r="IJ107" s="12"/>
      <c r="IK107" s="12"/>
      <c r="IL107" s="12"/>
      <c r="IM107" s="12"/>
      <c r="IN107" s="12"/>
      <c r="IO107" s="12"/>
      <c r="IP107" s="12"/>
      <c r="IQ107" s="12"/>
      <c r="IR107" s="12"/>
      <c r="IS107" s="12"/>
      <c r="IT107" s="12"/>
      <c r="IU107" s="12"/>
      <c r="IV107" s="12"/>
      <c r="IW107" s="12"/>
      <c r="IX107" s="12"/>
      <c r="IY107" s="12"/>
      <c r="IZ107" s="12"/>
      <c r="JA107" s="12"/>
      <c r="JB107" s="12"/>
      <c r="JC107" s="12"/>
      <c r="JD107" s="12"/>
      <c r="JE107" s="12"/>
      <c r="JF107" s="12"/>
      <c r="JG107" s="12"/>
      <c r="JH107" s="12"/>
      <c r="JI107" s="12"/>
      <c r="JJ107" s="12"/>
      <c r="JK107" s="12"/>
      <c r="JL107" s="12"/>
      <c r="JM107" s="12"/>
      <c r="JN107" s="12"/>
      <c r="JO107" s="12"/>
      <c r="JP107" s="12"/>
      <c r="JQ107" s="12"/>
      <c r="JR107" s="12"/>
      <c r="JS107" s="12"/>
      <c r="JT107" s="12"/>
      <c r="JU107" s="12"/>
      <c r="JV107" s="12"/>
      <c r="JW107" s="12"/>
      <c r="JX107" s="12"/>
      <c r="JY107" s="12"/>
      <c r="JZ107" s="12"/>
      <c r="KA107" s="12"/>
      <c r="KB107" s="12"/>
      <c r="KC107" s="12"/>
      <c r="KD107" s="12"/>
      <c r="KE107" s="12"/>
      <c r="KF107" s="12"/>
      <c r="KG107" s="12"/>
      <c r="KH107" s="12"/>
      <c r="KI107" s="12"/>
      <c r="KJ107" s="12"/>
      <c r="KK107" s="12"/>
      <c r="KL107" s="12"/>
      <c r="KM107" s="12"/>
      <c r="KN107" s="12"/>
      <c r="KO107" s="12"/>
      <c r="KP107" s="12"/>
      <c r="KQ107" s="12"/>
      <c r="KR107" s="12"/>
      <c r="KS107" s="12"/>
      <c r="KT107" s="12"/>
      <c r="KU107" s="12"/>
      <c r="KV107" s="12"/>
      <c r="KW107" s="11"/>
      <c r="KX107" s="11"/>
    </row>
    <row r="108" s="12" customFormat="1" customHeight="1" spans="1:310">
      <c r="A108" s="28">
        <v>45901</v>
      </c>
      <c r="B108" s="32" t="s">
        <v>1022</v>
      </c>
      <c r="C108" s="32" t="s">
        <v>1150</v>
      </c>
      <c r="D108" s="32" t="s">
        <v>1151</v>
      </c>
      <c r="E108" s="37" t="s">
        <v>114</v>
      </c>
      <c r="F108" s="42" t="s">
        <v>115</v>
      </c>
      <c r="G108" s="42" t="s">
        <v>738</v>
      </c>
      <c r="H108" s="32">
        <v>9</v>
      </c>
      <c r="I108" s="32">
        <v>2021</v>
      </c>
      <c r="J108" s="32" t="s">
        <v>1817</v>
      </c>
      <c r="K108" s="32" t="s">
        <v>1012</v>
      </c>
      <c r="L108" s="32">
        <v>1</v>
      </c>
      <c r="M108" s="49" t="s">
        <v>1013</v>
      </c>
      <c r="N108" s="49" t="s">
        <v>1014</v>
      </c>
      <c r="O108" s="32" t="s">
        <v>1818</v>
      </c>
      <c r="P108" s="32" t="s">
        <v>1018</v>
      </c>
      <c r="Q108" s="32" t="s">
        <v>1018</v>
      </c>
      <c r="R108" s="32" t="s">
        <v>1017</v>
      </c>
      <c r="S108" s="38">
        <v>942.34</v>
      </c>
      <c r="T108" s="32">
        <v>136</v>
      </c>
      <c r="U108" s="32" t="s">
        <v>1819</v>
      </c>
      <c r="V108" s="33">
        <f>T108/S108</f>
        <v>0.144321582443704</v>
      </c>
      <c r="W108" s="32"/>
      <c r="X108" s="32"/>
      <c r="Y108" s="32" t="s">
        <v>1018</v>
      </c>
      <c r="Z108" s="32" t="s">
        <v>1820</v>
      </c>
      <c r="AA108" s="32" t="s">
        <v>1821</v>
      </c>
      <c r="AB108" s="32" t="s">
        <v>1822</v>
      </c>
      <c r="AC108" s="32" t="s">
        <v>1823</v>
      </c>
      <c r="AD108" s="32" t="s">
        <v>1018</v>
      </c>
      <c r="AE108" s="32" t="s">
        <v>1824</v>
      </c>
      <c r="AF108" s="84" t="s">
        <v>1018</v>
      </c>
      <c r="AG108" s="87"/>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c r="FT108" s="10"/>
      <c r="FU108" s="10"/>
      <c r="FV108" s="10"/>
      <c r="FW108" s="10"/>
      <c r="FX108" s="10"/>
      <c r="FY108" s="10"/>
      <c r="FZ108" s="10"/>
      <c r="GA108" s="10"/>
      <c r="GB108" s="10"/>
      <c r="GC108" s="10"/>
      <c r="GD108" s="10"/>
      <c r="GE108" s="10"/>
      <c r="GF108" s="10"/>
      <c r="GG108" s="10"/>
      <c r="GH108" s="10"/>
      <c r="GI108" s="10"/>
      <c r="GJ108" s="10"/>
      <c r="GK108" s="10"/>
      <c r="GL108" s="10"/>
      <c r="GM108" s="10"/>
      <c r="GN108" s="10"/>
      <c r="GO108" s="10"/>
      <c r="GP108" s="10"/>
      <c r="GQ108" s="10"/>
      <c r="GR108" s="10"/>
      <c r="GS108" s="10"/>
      <c r="GT108" s="10"/>
      <c r="GU108" s="10"/>
      <c r="GV108" s="10"/>
      <c r="GW108" s="10"/>
      <c r="GX108" s="10"/>
      <c r="GY108" s="10"/>
      <c r="GZ108" s="10"/>
      <c r="HA108" s="10"/>
      <c r="HB108" s="10"/>
      <c r="HC108" s="10"/>
      <c r="HD108" s="10"/>
      <c r="HE108" s="10"/>
      <c r="HF108" s="10"/>
      <c r="HG108" s="10"/>
      <c r="HH108" s="10"/>
      <c r="HI108" s="10"/>
      <c r="HJ108" s="10"/>
      <c r="HK108" s="10"/>
      <c r="HL108" s="10"/>
      <c r="HM108" s="10"/>
      <c r="HN108" s="10"/>
      <c r="HO108" s="10"/>
      <c r="HP108" s="10"/>
      <c r="HQ108" s="10"/>
      <c r="HR108" s="10"/>
      <c r="HS108" s="10"/>
      <c r="HT108" s="10"/>
      <c r="HU108" s="10"/>
      <c r="HV108" s="10"/>
      <c r="HW108" s="10"/>
      <c r="HX108" s="10"/>
      <c r="HY108" s="10"/>
      <c r="HZ108" s="10"/>
      <c r="IA108" s="10"/>
      <c r="IB108" s="10"/>
      <c r="IC108" s="10"/>
      <c r="ID108" s="10"/>
      <c r="IE108" s="10"/>
      <c r="IF108" s="10"/>
      <c r="IG108" s="10"/>
      <c r="IH108" s="10"/>
      <c r="II108" s="10"/>
      <c r="IJ108" s="10"/>
      <c r="IK108" s="10"/>
      <c r="IL108" s="10"/>
      <c r="IM108" s="10"/>
      <c r="IN108" s="10"/>
      <c r="IO108" s="10"/>
      <c r="IP108" s="10"/>
      <c r="IQ108" s="10"/>
      <c r="IR108" s="10"/>
      <c r="IS108" s="10"/>
      <c r="IT108" s="10"/>
      <c r="IU108" s="10"/>
      <c r="IV108" s="10"/>
      <c r="IW108" s="10"/>
      <c r="IX108" s="10"/>
      <c r="IY108" s="10"/>
      <c r="IZ108" s="10"/>
      <c r="JA108" s="10"/>
      <c r="JB108" s="10"/>
      <c r="JC108" s="10"/>
      <c r="JD108" s="10"/>
      <c r="JE108" s="10"/>
      <c r="JF108" s="10"/>
      <c r="JG108" s="10"/>
      <c r="JH108" s="10"/>
      <c r="JI108" s="10"/>
      <c r="JJ108" s="10"/>
      <c r="JK108" s="10"/>
      <c r="JL108" s="10"/>
      <c r="JM108" s="10"/>
      <c r="JN108" s="10"/>
      <c r="JO108" s="10"/>
      <c r="JP108" s="10"/>
      <c r="JQ108" s="10"/>
      <c r="JR108" s="10"/>
      <c r="JS108" s="10"/>
      <c r="JT108" s="10"/>
      <c r="JU108" s="10"/>
      <c r="JV108" s="10"/>
      <c r="JW108" s="10"/>
      <c r="JX108" s="10"/>
      <c r="JY108" s="10"/>
      <c r="JZ108" s="10"/>
      <c r="KA108" s="10"/>
      <c r="KB108" s="10"/>
      <c r="KC108" s="10"/>
      <c r="KD108" s="10"/>
      <c r="KE108" s="10"/>
      <c r="KF108" s="10"/>
      <c r="KG108" s="10"/>
      <c r="KH108" s="10"/>
      <c r="KI108" s="10"/>
      <c r="KJ108" s="10"/>
      <c r="KK108" s="10"/>
      <c r="KL108" s="10"/>
      <c r="KM108" s="10"/>
      <c r="KN108" s="10"/>
      <c r="KO108" s="10"/>
      <c r="KP108" s="10"/>
      <c r="KQ108" s="10"/>
      <c r="KR108" s="10"/>
      <c r="KS108" s="10"/>
      <c r="KT108" s="10"/>
      <c r="KU108" s="10"/>
      <c r="KV108" s="10"/>
      <c r="KW108" s="11"/>
      <c r="KX108" s="11"/>
    </row>
    <row r="109" s="9" customFormat="1" customHeight="1" spans="1:310">
      <c r="A109" s="28">
        <v>45901</v>
      </c>
      <c r="B109" s="32" t="s">
        <v>1022</v>
      </c>
      <c r="C109" s="32" t="s">
        <v>1007</v>
      </c>
      <c r="D109" s="32" t="s">
        <v>1215</v>
      </c>
      <c r="E109" s="32" t="s">
        <v>936</v>
      </c>
      <c r="F109" s="29" t="s">
        <v>937</v>
      </c>
      <c r="G109" s="29" t="s">
        <v>1825</v>
      </c>
      <c r="H109" s="32">
        <v>9</v>
      </c>
      <c r="I109" s="32">
        <v>2021</v>
      </c>
      <c r="J109" s="32" t="s">
        <v>1826</v>
      </c>
      <c r="K109" s="32" t="s">
        <v>1646</v>
      </c>
      <c r="L109" s="32">
        <v>11</v>
      </c>
      <c r="M109" s="32" t="s">
        <v>1827</v>
      </c>
      <c r="N109" s="32" t="s">
        <v>1757</v>
      </c>
      <c r="O109" s="32" t="s">
        <v>1828</v>
      </c>
      <c r="P109" s="32" t="s">
        <v>1018</v>
      </c>
      <c r="Q109" s="32" t="s">
        <v>1018</v>
      </c>
      <c r="R109" s="32" t="s">
        <v>1039</v>
      </c>
      <c r="S109" s="38">
        <v>625.6</v>
      </c>
      <c r="T109" s="32">
        <v>60</v>
      </c>
      <c r="U109" s="32">
        <v>2022.1</v>
      </c>
      <c r="V109" s="33">
        <f>T109/S109</f>
        <v>0.0959079283887468</v>
      </c>
      <c r="W109" s="32"/>
      <c r="X109" s="32"/>
      <c r="Y109" s="32" t="s">
        <v>1018</v>
      </c>
      <c r="Z109" s="32" t="s">
        <v>1829</v>
      </c>
      <c r="AA109" s="32" t="s">
        <v>1738</v>
      </c>
      <c r="AB109" s="32" t="s">
        <v>1830</v>
      </c>
      <c r="AC109" s="32" t="s">
        <v>37</v>
      </c>
      <c r="AD109" s="32" t="s">
        <v>1018</v>
      </c>
      <c r="AE109" s="32"/>
      <c r="AF109" s="32"/>
      <c r="AG109" s="32"/>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c r="FT109" s="10"/>
      <c r="FU109" s="10"/>
      <c r="FV109" s="10"/>
      <c r="FW109" s="10"/>
      <c r="FX109" s="10"/>
      <c r="FY109" s="10"/>
      <c r="FZ109" s="10"/>
      <c r="GA109" s="10"/>
      <c r="GB109" s="10"/>
      <c r="GC109" s="10"/>
      <c r="GD109" s="10"/>
      <c r="GE109" s="10"/>
      <c r="GF109" s="10"/>
      <c r="GG109" s="10"/>
      <c r="GH109" s="10"/>
      <c r="GI109" s="10"/>
      <c r="GJ109" s="10"/>
      <c r="GK109" s="10"/>
      <c r="GL109" s="10"/>
      <c r="GM109" s="10"/>
      <c r="GN109" s="10"/>
      <c r="GO109" s="10"/>
      <c r="GP109" s="10"/>
      <c r="GQ109" s="10"/>
      <c r="GR109" s="10"/>
      <c r="GS109" s="10"/>
      <c r="GT109" s="10"/>
      <c r="GU109" s="10"/>
      <c r="GV109" s="10"/>
      <c r="GW109" s="10"/>
      <c r="GX109" s="10"/>
      <c r="GY109" s="10"/>
      <c r="GZ109" s="10"/>
      <c r="HA109" s="10"/>
      <c r="HB109" s="10"/>
      <c r="HC109" s="10"/>
      <c r="HD109" s="10"/>
      <c r="HE109" s="10"/>
      <c r="HF109" s="10"/>
      <c r="HG109" s="10"/>
      <c r="HH109" s="10"/>
      <c r="HI109" s="10"/>
      <c r="HJ109" s="10"/>
      <c r="HK109" s="10"/>
      <c r="HL109" s="10"/>
      <c r="HM109" s="10"/>
      <c r="HN109" s="10"/>
      <c r="HO109" s="10"/>
      <c r="HP109" s="10"/>
      <c r="HQ109" s="10"/>
      <c r="HR109" s="10"/>
      <c r="HS109" s="10"/>
      <c r="HT109" s="10"/>
      <c r="HU109" s="10"/>
      <c r="HV109" s="10"/>
      <c r="HW109" s="10"/>
      <c r="HX109" s="10"/>
      <c r="HY109" s="10"/>
      <c r="HZ109" s="10"/>
      <c r="IA109" s="10"/>
      <c r="IB109" s="10"/>
      <c r="IC109" s="10"/>
      <c r="ID109" s="10"/>
      <c r="IE109" s="10"/>
      <c r="IF109" s="10"/>
      <c r="IG109" s="10"/>
      <c r="IH109" s="10"/>
      <c r="II109" s="10"/>
      <c r="IJ109" s="12"/>
      <c r="IK109" s="12"/>
      <c r="IL109" s="12"/>
      <c r="IM109" s="12"/>
      <c r="IN109" s="12"/>
      <c r="IO109" s="12"/>
      <c r="IP109" s="12"/>
      <c r="IQ109" s="12"/>
      <c r="IR109" s="12"/>
      <c r="IS109" s="12"/>
      <c r="IT109" s="12"/>
      <c r="IU109" s="12"/>
      <c r="IV109" s="12"/>
      <c r="IW109" s="12"/>
      <c r="IX109" s="12"/>
      <c r="IY109" s="12"/>
      <c r="IZ109" s="12"/>
      <c r="JA109" s="12"/>
      <c r="JB109" s="12"/>
      <c r="JC109" s="12"/>
      <c r="JD109" s="12"/>
      <c r="JE109" s="12"/>
      <c r="JF109" s="12"/>
      <c r="JG109" s="12"/>
      <c r="JH109" s="12"/>
      <c r="JI109" s="12"/>
      <c r="JJ109" s="12"/>
      <c r="JK109" s="12"/>
      <c r="JL109" s="12"/>
      <c r="JM109" s="12"/>
      <c r="JN109" s="12"/>
      <c r="JO109" s="12"/>
      <c r="JP109" s="12"/>
      <c r="JQ109" s="12"/>
      <c r="JR109" s="12"/>
      <c r="JS109" s="12"/>
      <c r="JT109" s="12"/>
      <c r="JU109" s="12"/>
      <c r="JV109" s="12"/>
      <c r="JW109" s="12"/>
      <c r="JX109" s="12"/>
      <c r="JY109" s="12"/>
      <c r="JZ109" s="12"/>
      <c r="KA109" s="12"/>
      <c r="KB109" s="12"/>
      <c r="KC109" s="12"/>
      <c r="KD109" s="12"/>
      <c r="KE109" s="12"/>
      <c r="KF109" s="12"/>
      <c r="KG109" s="12"/>
      <c r="KH109" s="12"/>
      <c r="KI109" s="12"/>
      <c r="KJ109" s="12"/>
      <c r="KK109" s="12"/>
      <c r="KL109" s="12"/>
      <c r="KM109" s="12"/>
      <c r="KN109" s="12"/>
      <c r="KO109" s="12"/>
      <c r="KP109" s="12"/>
      <c r="KQ109" s="12"/>
      <c r="KR109" s="12"/>
      <c r="KS109" s="12"/>
      <c r="KT109" s="12"/>
      <c r="KU109" s="12"/>
      <c r="KV109" s="12"/>
      <c r="KW109" s="11"/>
      <c r="KX109" s="11"/>
    </row>
    <row r="110" s="9" customFormat="1" customHeight="1" spans="1:310">
      <c r="A110" s="28">
        <v>45901</v>
      </c>
      <c r="B110" s="29" t="s">
        <v>1022</v>
      </c>
      <c r="C110" s="29" t="s">
        <v>1007</v>
      </c>
      <c r="D110" s="29" t="s">
        <v>134</v>
      </c>
      <c r="E110" s="29" t="s">
        <v>1445</v>
      </c>
      <c r="F110" s="42" t="s">
        <v>1831</v>
      </c>
      <c r="G110" s="42" t="s">
        <v>1832</v>
      </c>
      <c r="H110" s="29">
        <v>9</v>
      </c>
      <c r="I110" s="29">
        <v>2023</v>
      </c>
      <c r="J110" s="29" t="s">
        <v>1833</v>
      </c>
      <c r="K110" s="29" t="s">
        <v>1012</v>
      </c>
      <c r="L110" s="29">
        <v>1</v>
      </c>
      <c r="M110" s="29" t="s">
        <v>1013</v>
      </c>
      <c r="N110" s="29" t="s">
        <v>1012</v>
      </c>
      <c r="O110" s="29" t="s">
        <v>1834</v>
      </c>
      <c r="P110" s="29" t="s">
        <v>1016</v>
      </c>
      <c r="Q110" s="29" t="s">
        <v>1016</v>
      </c>
      <c r="R110" s="29" t="s">
        <v>1017</v>
      </c>
      <c r="S110" s="29">
        <v>213.91</v>
      </c>
      <c r="T110" s="29"/>
      <c r="U110" s="29"/>
      <c r="V110" s="46"/>
      <c r="W110" s="29"/>
      <c r="X110" s="29"/>
      <c r="Y110" s="29" t="s">
        <v>1018</v>
      </c>
      <c r="Z110" s="29" t="s">
        <v>1678</v>
      </c>
      <c r="AA110" s="29" t="s">
        <v>1835</v>
      </c>
      <c r="AB110" s="29" t="s">
        <v>1836</v>
      </c>
      <c r="AC110" s="29" t="s">
        <v>1166</v>
      </c>
      <c r="AD110" s="29" t="s">
        <v>1018</v>
      </c>
      <c r="AE110" s="29"/>
      <c r="AF110" s="29"/>
      <c r="AG110" s="29"/>
      <c r="II110" s="12"/>
      <c r="IJ110" s="12"/>
      <c r="IK110" s="12"/>
      <c r="IL110" s="12"/>
      <c r="IM110" s="12"/>
      <c r="IN110" s="12"/>
      <c r="IO110" s="12"/>
      <c r="IP110" s="12"/>
      <c r="IQ110" s="12"/>
      <c r="IR110" s="12"/>
      <c r="IS110" s="12"/>
      <c r="IT110" s="12"/>
      <c r="IU110" s="12"/>
      <c r="IV110" s="12"/>
      <c r="IW110" s="12"/>
      <c r="IX110" s="12"/>
      <c r="IY110" s="12"/>
      <c r="IZ110" s="12"/>
      <c r="JA110" s="12"/>
      <c r="JB110" s="12"/>
      <c r="JC110" s="12"/>
      <c r="JD110" s="12"/>
      <c r="JE110" s="12"/>
      <c r="JF110" s="12"/>
      <c r="JG110" s="12"/>
      <c r="JH110" s="12"/>
      <c r="JI110" s="12"/>
      <c r="JJ110" s="12"/>
      <c r="JK110" s="12"/>
      <c r="JL110" s="12"/>
      <c r="JM110" s="12"/>
      <c r="JN110" s="12"/>
      <c r="JO110" s="12"/>
      <c r="JP110" s="12"/>
      <c r="JQ110" s="12"/>
      <c r="JR110" s="12"/>
      <c r="JS110" s="12"/>
      <c r="JT110" s="12"/>
      <c r="JU110" s="12"/>
      <c r="JV110" s="12"/>
      <c r="JW110" s="12"/>
      <c r="JX110" s="12"/>
      <c r="JY110" s="12"/>
      <c r="JZ110" s="12"/>
      <c r="KA110" s="12"/>
      <c r="KB110" s="12"/>
      <c r="KC110" s="12"/>
      <c r="KD110" s="12"/>
      <c r="KE110" s="12"/>
      <c r="KF110" s="12"/>
      <c r="KG110" s="12"/>
      <c r="KH110" s="12"/>
      <c r="KI110" s="12"/>
      <c r="KJ110" s="12"/>
      <c r="KK110" s="12"/>
      <c r="KL110" s="12"/>
      <c r="KM110" s="12"/>
      <c r="KN110" s="12"/>
      <c r="KO110" s="12"/>
      <c r="KP110" s="12"/>
      <c r="KQ110" s="12"/>
      <c r="KR110" s="12"/>
      <c r="KS110" s="12"/>
      <c r="KT110" s="12"/>
      <c r="KU110" s="12"/>
      <c r="KV110" s="12"/>
      <c r="KW110" s="11"/>
      <c r="KX110" s="11"/>
    </row>
    <row r="111" customHeight="1" spans="1:310">
      <c r="A111" s="28">
        <v>45901</v>
      </c>
      <c r="B111" s="32" t="s">
        <v>1022</v>
      </c>
      <c r="C111" s="32" t="s">
        <v>1007</v>
      </c>
      <c r="D111" s="32" t="s">
        <v>134</v>
      </c>
      <c r="E111" s="37" t="s">
        <v>678</v>
      </c>
      <c r="F111" s="42" t="s">
        <v>1837</v>
      </c>
      <c r="G111" s="42" t="s">
        <v>1838</v>
      </c>
      <c r="H111" s="32">
        <v>9</v>
      </c>
      <c r="I111" s="32">
        <v>2021</v>
      </c>
      <c r="J111" s="32" t="s">
        <v>1839</v>
      </c>
      <c r="K111" s="32" t="s">
        <v>1012</v>
      </c>
      <c r="L111" s="32">
        <v>1</v>
      </c>
      <c r="M111" s="49" t="s">
        <v>1013</v>
      </c>
      <c r="N111" s="49" t="s">
        <v>1014</v>
      </c>
      <c r="O111" s="32" t="s">
        <v>1840</v>
      </c>
      <c r="P111" s="32" t="s">
        <v>1018</v>
      </c>
      <c r="Q111" s="32" t="s">
        <v>1068</v>
      </c>
      <c r="R111" s="32" t="s">
        <v>1039</v>
      </c>
      <c r="S111" s="38">
        <v>290.65</v>
      </c>
      <c r="T111" s="32">
        <v>125</v>
      </c>
      <c r="U111" s="32" t="s">
        <v>1841</v>
      </c>
      <c r="V111" s="33">
        <f>T111/S111</f>
        <v>0.430070531567177</v>
      </c>
      <c r="W111" s="32" t="s">
        <v>1068</v>
      </c>
      <c r="X111" s="32" t="s">
        <v>1842</v>
      </c>
      <c r="Y111" s="32" t="s">
        <v>1018</v>
      </c>
      <c r="Z111" s="32" t="s">
        <v>1843</v>
      </c>
      <c r="AA111" s="32" t="s">
        <v>1844</v>
      </c>
      <c r="AB111" s="32" t="s">
        <v>1845</v>
      </c>
      <c r="AC111" s="32" t="s">
        <v>37</v>
      </c>
      <c r="AD111" s="32" t="s">
        <v>1018</v>
      </c>
      <c r="AE111" s="32"/>
      <c r="AF111" s="32"/>
      <c r="AG111" s="50" t="s">
        <v>1846</v>
      </c>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10"/>
      <c r="EU111" s="10"/>
      <c r="EV111" s="10"/>
      <c r="EW111" s="10"/>
      <c r="EX111" s="10"/>
      <c r="EY111" s="10"/>
      <c r="EZ111" s="10"/>
      <c r="FA111" s="10"/>
      <c r="FB111" s="10"/>
      <c r="FC111" s="10"/>
      <c r="FD111" s="10"/>
      <c r="FE111" s="10"/>
      <c r="FF111" s="10"/>
      <c r="FG111" s="10"/>
      <c r="FH111" s="10"/>
      <c r="FI111" s="10"/>
      <c r="FJ111" s="10"/>
      <c r="FK111" s="10"/>
      <c r="FL111" s="10"/>
      <c r="FM111" s="10"/>
      <c r="FN111" s="10"/>
      <c r="FO111" s="10"/>
      <c r="FP111" s="10"/>
      <c r="FQ111" s="10"/>
      <c r="FR111" s="10"/>
      <c r="FS111" s="10"/>
      <c r="FT111" s="10"/>
      <c r="FU111" s="10"/>
      <c r="FV111" s="10"/>
      <c r="FW111" s="10"/>
      <c r="FX111" s="10"/>
      <c r="FY111" s="10"/>
      <c r="FZ111" s="10"/>
      <c r="GA111" s="10"/>
      <c r="GB111" s="10"/>
      <c r="GC111" s="10"/>
      <c r="GD111" s="10"/>
      <c r="GE111" s="10"/>
      <c r="GF111" s="10"/>
      <c r="GG111" s="10"/>
      <c r="GH111" s="10"/>
      <c r="GI111" s="10"/>
      <c r="GJ111" s="10"/>
      <c r="GK111" s="10"/>
      <c r="GL111" s="10"/>
      <c r="GM111" s="10"/>
      <c r="GN111" s="10"/>
      <c r="GO111" s="10"/>
      <c r="GP111" s="10"/>
      <c r="GQ111" s="10"/>
      <c r="GR111" s="10"/>
      <c r="GS111" s="10"/>
      <c r="GT111" s="10"/>
      <c r="GU111" s="10"/>
      <c r="GV111" s="10"/>
      <c r="GW111" s="10"/>
      <c r="GX111" s="10"/>
      <c r="GY111" s="10"/>
      <c r="GZ111" s="10"/>
      <c r="HA111" s="10"/>
      <c r="HB111" s="10"/>
      <c r="HC111" s="10"/>
      <c r="HD111" s="10"/>
      <c r="HE111" s="10"/>
      <c r="HF111" s="10"/>
      <c r="HG111" s="10"/>
      <c r="HH111" s="10"/>
      <c r="HI111" s="10"/>
      <c r="HJ111" s="10"/>
      <c r="HK111" s="10"/>
      <c r="HL111" s="10"/>
      <c r="HM111" s="10"/>
      <c r="HN111" s="10"/>
      <c r="HO111" s="10"/>
      <c r="HP111" s="10"/>
      <c r="HQ111" s="10"/>
      <c r="HR111" s="10"/>
      <c r="HS111" s="10"/>
      <c r="HT111" s="10"/>
      <c r="HU111" s="10"/>
      <c r="HV111" s="10"/>
      <c r="HW111" s="10"/>
      <c r="HX111" s="10"/>
      <c r="HY111" s="10"/>
      <c r="HZ111" s="10"/>
      <c r="IA111" s="10"/>
      <c r="IB111" s="10"/>
      <c r="IC111" s="10"/>
      <c r="ID111" s="10"/>
      <c r="IE111" s="10"/>
      <c r="IF111" s="10"/>
      <c r="IG111" s="10"/>
      <c r="IH111" s="10"/>
      <c r="II111" s="10"/>
      <c r="IJ111" s="10"/>
      <c r="IK111" s="10"/>
      <c r="IL111" s="10"/>
      <c r="IM111" s="10"/>
      <c r="IN111" s="10"/>
      <c r="IO111" s="10"/>
      <c r="IP111" s="10"/>
      <c r="IQ111" s="10"/>
      <c r="IR111" s="10"/>
      <c r="IS111" s="10"/>
      <c r="IT111" s="10"/>
      <c r="IU111" s="10"/>
      <c r="IV111" s="10"/>
      <c r="IW111" s="10"/>
      <c r="IX111" s="10"/>
      <c r="IY111" s="10"/>
      <c r="IZ111" s="10"/>
      <c r="JA111" s="10"/>
      <c r="JB111" s="10"/>
      <c r="JC111" s="10"/>
      <c r="JD111" s="10"/>
      <c r="JE111" s="10"/>
      <c r="JF111" s="10"/>
      <c r="JG111" s="10"/>
      <c r="JH111" s="10"/>
      <c r="JI111" s="10"/>
      <c r="JJ111" s="10"/>
      <c r="JK111" s="10"/>
      <c r="JL111" s="10"/>
      <c r="JM111" s="10"/>
      <c r="JN111" s="10"/>
      <c r="JO111" s="10"/>
      <c r="JP111" s="10"/>
      <c r="JQ111" s="10"/>
      <c r="JR111" s="10"/>
      <c r="JS111" s="10"/>
      <c r="JT111" s="10"/>
      <c r="JU111" s="10"/>
      <c r="JV111" s="10"/>
      <c r="JW111" s="10"/>
      <c r="JX111" s="10"/>
      <c r="JY111" s="10"/>
      <c r="JZ111" s="10"/>
      <c r="KA111" s="10"/>
      <c r="KB111" s="10"/>
      <c r="KC111" s="10"/>
      <c r="KD111" s="10"/>
      <c r="KE111" s="10"/>
      <c r="KF111" s="10"/>
      <c r="KG111" s="10"/>
      <c r="KH111" s="10"/>
      <c r="KI111" s="10"/>
      <c r="KJ111" s="10"/>
      <c r="KK111" s="10"/>
      <c r="KL111" s="10"/>
      <c r="KM111" s="10"/>
      <c r="KN111" s="10"/>
      <c r="KO111" s="10"/>
      <c r="KP111" s="10"/>
      <c r="KQ111" s="10"/>
      <c r="KR111" s="10"/>
      <c r="KS111" s="10"/>
      <c r="KT111" s="10"/>
      <c r="KU111" s="10"/>
      <c r="KV111" s="10"/>
      <c r="KW111" s="11"/>
      <c r="KX111" s="11"/>
    </row>
    <row r="112" s="13" customFormat="1" customHeight="1" spans="1:310">
      <c r="A112" s="28">
        <v>45901</v>
      </c>
      <c r="B112" s="32" t="s">
        <v>1022</v>
      </c>
      <c r="C112" s="32" t="s">
        <v>1007</v>
      </c>
      <c r="D112" s="32" t="s">
        <v>1215</v>
      </c>
      <c r="E112" s="32" t="s">
        <v>822</v>
      </c>
      <c r="F112" s="42" t="s">
        <v>822</v>
      </c>
      <c r="G112" s="42" t="s">
        <v>1847</v>
      </c>
      <c r="H112" s="32">
        <v>9</v>
      </c>
      <c r="I112" s="32">
        <v>2022</v>
      </c>
      <c r="J112" s="32" t="s">
        <v>1848</v>
      </c>
      <c r="K112" s="29" t="s">
        <v>1012</v>
      </c>
      <c r="L112" s="32">
        <v>1</v>
      </c>
      <c r="M112" s="29" t="s">
        <v>1013</v>
      </c>
      <c r="N112" s="29" t="s">
        <v>1014</v>
      </c>
      <c r="O112" s="32" t="s">
        <v>1849</v>
      </c>
      <c r="P112" s="32" t="s">
        <v>1016</v>
      </c>
      <c r="Q112" s="32" t="s">
        <v>1018</v>
      </c>
      <c r="R112" s="32" t="s">
        <v>1017</v>
      </c>
      <c r="S112" s="32">
        <v>3491.56</v>
      </c>
      <c r="T112" s="32">
        <v>76</v>
      </c>
      <c r="U112" s="32">
        <v>2022</v>
      </c>
      <c r="V112" s="33">
        <v>0.02</v>
      </c>
      <c r="W112" s="32" t="s">
        <v>1068</v>
      </c>
      <c r="X112" s="32" t="s">
        <v>1068</v>
      </c>
      <c r="Y112" s="32" t="s">
        <v>1018</v>
      </c>
      <c r="Z112" s="32" t="s">
        <v>1511</v>
      </c>
      <c r="AA112" s="32" t="s">
        <v>1850</v>
      </c>
      <c r="AB112" s="32" t="s">
        <v>1851</v>
      </c>
      <c r="AC112" s="32" t="s">
        <v>1204</v>
      </c>
      <c r="AD112" s="32" t="s">
        <v>1852</v>
      </c>
      <c r="AE112" s="49" t="s">
        <v>134</v>
      </c>
      <c r="AF112" s="49" t="s">
        <v>1018</v>
      </c>
      <c r="AG112" s="32" t="s">
        <v>134</v>
      </c>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c r="FZ112" s="10"/>
      <c r="GA112" s="10"/>
      <c r="GB112" s="10"/>
      <c r="GC112" s="10"/>
      <c r="GD112" s="10"/>
      <c r="GE112" s="10"/>
      <c r="GF112" s="10"/>
      <c r="GG112" s="10"/>
      <c r="GH112" s="10"/>
      <c r="GI112" s="10"/>
      <c r="GJ112" s="10"/>
      <c r="GK112" s="10"/>
      <c r="GL112" s="10"/>
      <c r="GM112" s="10"/>
      <c r="GN112" s="10"/>
      <c r="GO112" s="10"/>
      <c r="GP112" s="10"/>
      <c r="GQ112" s="10"/>
      <c r="GR112" s="10"/>
      <c r="GS112" s="10"/>
      <c r="GT112" s="10"/>
      <c r="GU112" s="10"/>
      <c r="GV112" s="10"/>
      <c r="GW112" s="10"/>
      <c r="GX112" s="10"/>
      <c r="GY112" s="10"/>
      <c r="GZ112" s="10"/>
      <c r="HA112" s="10"/>
      <c r="HB112" s="10"/>
      <c r="HC112" s="10"/>
      <c r="HD112" s="10"/>
      <c r="HE112" s="10"/>
      <c r="HF112" s="10"/>
      <c r="HG112" s="10"/>
      <c r="HH112" s="10"/>
      <c r="HI112" s="10"/>
      <c r="HJ112" s="10"/>
      <c r="HK112" s="10"/>
      <c r="HL112" s="10"/>
      <c r="HM112" s="10"/>
      <c r="HN112" s="10"/>
      <c r="HO112" s="10"/>
      <c r="HP112" s="10"/>
      <c r="HQ112" s="10"/>
      <c r="HR112" s="10"/>
      <c r="HS112" s="10"/>
      <c r="HT112" s="10"/>
      <c r="HU112" s="10"/>
      <c r="HV112" s="10"/>
      <c r="HW112" s="10"/>
      <c r="HX112" s="10"/>
      <c r="HY112" s="10"/>
      <c r="HZ112" s="10"/>
      <c r="IA112" s="10"/>
      <c r="IB112" s="10"/>
      <c r="IC112" s="10"/>
      <c r="ID112" s="10"/>
      <c r="IE112" s="10"/>
      <c r="IF112" s="10"/>
      <c r="IG112" s="10"/>
      <c r="IH112" s="10"/>
      <c r="II112" s="11"/>
      <c r="IJ112" s="11"/>
      <c r="IK112" s="11"/>
      <c r="IL112" s="11"/>
      <c r="IM112" s="11"/>
      <c r="IN112" s="11"/>
      <c r="IO112" s="11"/>
      <c r="IP112" s="11"/>
      <c r="IQ112" s="11"/>
      <c r="IR112" s="11"/>
      <c r="IS112" s="11"/>
      <c r="IT112" s="11"/>
      <c r="IU112" s="11"/>
      <c r="IV112" s="11"/>
      <c r="IW112" s="11"/>
      <c r="IX112" s="11"/>
      <c r="IY112" s="11"/>
      <c r="IZ112" s="11"/>
      <c r="JA112" s="11"/>
      <c r="JB112" s="11"/>
      <c r="JC112" s="11"/>
      <c r="JD112" s="11"/>
      <c r="JE112" s="11"/>
      <c r="JF112" s="11"/>
      <c r="JG112" s="11"/>
      <c r="JH112" s="11"/>
      <c r="JI112" s="11"/>
      <c r="JJ112" s="11"/>
      <c r="JK112" s="11"/>
      <c r="JL112" s="11"/>
      <c r="JM112" s="11"/>
      <c r="JN112" s="11"/>
      <c r="JO112" s="11"/>
      <c r="JP112" s="11"/>
      <c r="JQ112" s="11"/>
      <c r="JR112" s="11"/>
      <c r="JS112" s="11"/>
      <c r="JT112" s="11"/>
      <c r="JU112" s="11"/>
      <c r="JV112" s="11"/>
      <c r="JW112" s="11"/>
      <c r="JX112" s="11"/>
      <c r="JY112" s="11"/>
      <c r="JZ112" s="11"/>
      <c r="KA112" s="11"/>
      <c r="KB112" s="11"/>
      <c r="KC112" s="11"/>
      <c r="KD112" s="11"/>
      <c r="KE112" s="11"/>
      <c r="KF112" s="11"/>
      <c r="KG112" s="11"/>
      <c r="KH112" s="11"/>
      <c r="KI112" s="11"/>
      <c r="KJ112" s="11"/>
      <c r="KK112" s="11"/>
      <c r="KL112" s="11"/>
      <c r="KM112" s="11"/>
      <c r="KN112" s="11"/>
      <c r="KO112" s="11"/>
      <c r="KP112" s="11"/>
      <c r="KQ112" s="11"/>
      <c r="KR112" s="11"/>
      <c r="KS112" s="11"/>
      <c r="KT112" s="11"/>
      <c r="KU112" s="11"/>
      <c r="KV112" s="11"/>
      <c r="KW112" s="11"/>
      <c r="KX112" s="11"/>
    </row>
    <row r="113" s="9" customFormat="1" customHeight="1" spans="1:310">
      <c r="A113" s="28">
        <v>45901</v>
      </c>
      <c r="B113" s="32" t="s">
        <v>1022</v>
      </c>
      <c r="C113" s="32" t="s">
        <v>1023</v>
      </c>
      <c r="D113" s="32" t="s">
        <v>134</v>
      </c>
      <c r="E113" s="37" t="s">
        <v>561</v>
      </c>
      <c r="F113" s="29" t="s">
        <v>579</v>
      </c>
      <c r="G113" s="29" t="s">
        <v>580</v>
      </c>
      <c r="H113" s="32">
        <v>9</v>
      </c>
      <c r="I113" s="32">
        <v>2021</v>
      </c>
      <c r="J113" s="32" t="s">
        <v>1853</v>
      </c>
      <c r="K113" s="32" t="s">
        <v>1646</v>
      </c>
      <c r="L113" s="32">
        <v>11</v>
      </c>
      <c r="M113" s="32" t="s">
        <v>1827</v>
      </c>
      <c r="N113" s="32" t="s">
        <v>1757</v>
      </c>
      <c r="O113" s="32" t="s">
        <v>1854</v>
      </c>
      <c r="P113" s="32" t="s">
        <v>1016</v>
      </c>
      <c r="Q113" s="32" t="s">
        <v>1018</v>
      </c>
      <c r="R113" s="32" t="s">
        <v>1017</v>
      </c>
      <c r="S113" s="37">
        <v>248.93</v>
      </c>
      <c r="T113" s="32">
        <v>117</v>
      </c>
      <c r="U113" s="32" t="s">
        <v>1855</v>
      </c>
      <c r="V113" s="33">
        <f>T113/S113</f>
        <v>0.470011649861407</v>
      </c>
      <c r="W113" s="39">
        <v>0.6036</v>
      </c>
      <c r="X113" s="32" t="s">
        <v>1856</v>
      </c>
      <c r="Y113" s="32" t="s">
        <v>1857</v>
      </c>
      <c r="Z113" s="32" t="s">
        <v>1858</v>
      </c>
      <c r="AA113" s="32" t="s">
        <v>237</v>
      </c>
      <c r="AB113" s="32" t="s">
        <v>1859</v>
      </c>
      <c r="AC113" s="32" t="s">
        <v>37</v>
      </c>
      <c r="AD113" s="32" t="s">
        <v>1016</v>
      </c>
      <c r="AE113" s="32"/>
      <c r="AF113" s="32"/>
      <c r="AG113" s="32" t="s">
        <v>1860</v>
      </c>
      <c r="AH113" s="10" t="s">
        <v>1068</v>
      </c>
      <c r="AI113" s="10" t="s">
        <v>1068</v>
      </c>
      <c r="AJ113" s="10" t="s">
        <v>1068</v>
      </c>
      <c r="AK113" s="10" t="s">
        <v>1068</v>
      </c>
      <c r="AL113" s="10" t="s">
        <v>1068</v>
      </c>
      <c r="AM113" s="10" t="s">
        <v>1068</v>
      </c>
      <c r="AN113" s="10" t="s">
        <v>1068</v>
      </c>
      <c r="AO113" s="10" t="s">
        <v>1068</v>
      </c>
      <c r="AP113" s="10" t="s">
        <v>1068</v>
      </c>
      <c r="AQ113" s="10" t="s">
        <v>1068</v>
      </c>
      <c r="AR113" s="10" t="s">
        <v>1068</v>
      </c>
      <c r="AS113" s="10" t="s">
        <v>1068</v>
      </c>
      <c r="AT113" s="10" t="s">
        <v>1068</v>
      </c>
      <c r="AU113" s="10" t="s">
        <v>1068</v>
      </c>
      <c r="AV113" s="10" t="s">
        <v>1068</v>
      </c>
      <c r="AW113" s="10" t="s">
        <v>1068</v>
      </c>
      <c r="AX113" s="10" t="s">
        <v>1068</v>
      </c>
      <c r="AY113" s="10" t="s">
        <v>1068</v>
      </c>
      <c r="AZ113" s="10" t="s">
        <v>1068</v>
      </c>
      <c r="BA113" s="10" t="s">
        <v>1068</v>
      </c>
      <c r="BB113" s="10" t="s">
        <v>1068</v>
      </c>
      <c r="BC113" s="10" t="s">
        <v>1068</v>
      </c>
      <c r="BD113" s="10" t="s">
        <v>1068</v>
      </c>
      <c r="BE113" s="10" t="s">
        <v>1068</v>
      </c>
      <c r="BF113" s="10" t="s">
        <v>1068</v>
      </c>
      <c r="BG113" s="10" t="s">
        <v>1068</v>
      </c>
      <c r="BH113" s="10" t="s">
        <v>1068</v>
      </c>
      <c r="BI113" s="10" t="s">
        <v>1068</v>
      </c>
      <c r="BJ113" s="10" t="s">
        <v>1068</v>
      </c>
      <c r="BK113" s="10" t="s">
        <v>1068</v>
      </c>
      <c r="BL113" s="10" t="s">
        <v>1068</v>
      </c>
      <c r="BM113" s="10" t="s">
        <v>1068</v>
      </c>
      <c r="BN113" s="10" t="s">
        <v>1068</v>
      </c>
      <c r="BO113" s="10" t="s">
        <v>1068</v>
      </c>
      <c r="BP113" s="10" t="s">
        <v>1068</v>
      </c>
      <c r="BQ113" s="10" t="s">
        <v>1068</v>
      </c>
      <c r="BR113" s="10" t="s">
        <v>1068</v>
      </c>
      <c r="BS113" s="10" t="s">
        <v>1068</v>
      </c>
      <c r="BT113" s="10" t="s">
        <v>1068</v>
      </c>
      <c r="BU113" s="10" t="s">
        <v>1068</v>
      </c>
      <c r="BV113" s="10" t="s">
        <v>1068</v>
      </c>
      <c r="BW113" s="10" t="s">
        <v>1068</v>
      </c>
      <c r="BX113" s="10" t="s">
        <v>1068</v>
      </c>
      <c r="BY113" s="10" t="s">
        <v>1068</v>
      </c>
      <c r="BZ113" s="10" t="s">
        <v>1068</v>
      </c>
      <c r="CA113" s="10" t="s">
        <v>1068</v>
      </c>
      <c r="CB113" s="10" t="s">
        <v>1068</v>
      </c>
      <c r="CC113" s="10" t="s">
        <v>1068</v>
      </c>
      <c r="CD113" s="10" t="s">
        <v>1068</v>
      </c>
      <c r="CE113" s="10" t="s">
        <v>1068</v>
      </c>
      <c r="CF113" s="10" t="s">
        <v>1068</v>
      </c>
      <c r="CG113" s="10" t="s">
        <v>1068</v>
      </c>
      <c r="CH113" s="10" t="s">
        <v>1068</v>
      </c>
      <c r="CI113" s="10" t="s">
        <v>1068</v>
      </c>
      <c r="CJ113" s="10" t="s">
        <v>1068</v>
      </c>
      <c r="CK113" s="10" t="s">
        <v>1068</v>
      </c>
      <c r="CL113" s="10" t="s">
        <v>1068</v>
      </c>
      <c r="CM113" s="10" t="s">
        <v>1068</v>
      </c>
      <c r="CN113" s="10" t="s">
        <v>1068</v>
      </c>
      <c r="CO113" s="10" t="s">
        <v>1068</v>
      </c>
      <c r="CP113" s="10" t="s">
        <v>1068</v>
      </c>
      <c r="CQ113" s="10" t="s">
        <v>1068</v>
      </c>
      <c r="CR113" s="10" t="s">
        <v>1068</v>
      </c>
      <c r="CS113" s="10" t="s">
        <v>1068</v>
      </c>
      <c r="CT113" s="10" t="s">
        <v>1068</v>
      </c>
      <c r="CU113" s="10" t="s">
        <v>1068</v>
      </c>
      <c r="CV113" s="10" t="s">
        <v>1068</v>
      </c>
      <c r="CW113" s="10" t="s">
        <v>1068</v>
      </c>
      <c r="CX113" s="10" t="s">
        <v>1068</v>
      </c>
      <c r="CY113" s="10" t="s">
        <v>1068</v>
      </c>
      <c r="CZ113" s="10" t="s">
        <v>1068</v>
      </c>
      <c r="DA113" s="10" t="s">
        <v>1068</v>
      </c>
      <c r="DB113" s="10" t="s">
        <v>1068</v>
      </c>
      <c r="DC113" s="10" t="s">
        <v>1068</v>
      </c>
      <c r="DD113" s="10" t="s">
        <v>1068</v>
      </c>
      <c r="DE113" s="10" t="s">
        <v>1068</v>
      </c>
      <c r="DF113" s="10" t="s">
        <v>1068</v>
      </c>
      <c r="DG113" s="10" t="s">
        <v>1068</v>
      </c>
      <c r="DH113" s="10" t="s">
        <v>1068</v>
      </c>
      <c r="DI113" s="10" t="s">
        <v>1068</v>
      </c>
      <c r="DJ113" s="10" t="s">
        <v>1068</v>
      </c>
      <c r="DK113" s="10" t="s">
        <v>1068</v>
      </c>
      <c r="DL113" s="10" t="s">
        <v>1068</v>
      </c>
      <c r="DM113" s="10" t="s">
        <v>1068</v>
      </c>
      <c r="DN113" s="10" t="s">
        <v>1068</v>
      </c>
      <c r="DO113" s="10" t="s">
        <v>1068</v>
      </c>
      <c r="DP113" s="10" t="s">
        <v>1068</v>
      </c>
      <c r="DQ113" s="10" t="s">
        <v>1068</v>
      </c>
      <c r="DR113" s="10" t="s">
        <v>1068</v>
      </c>
      <c r="DS113" s="10" t="s">
        <v>1068</v>
      </c>
      <c r="DT113" s="10" t="s">
        <v>1068</v>
      </c>
      <c r="DU113" s="10" t="s">
        <v>1068</v>
      </c>
      <c r="DV113" s="10" t="s">
        <v>1068</v>
      </c>
      <c r="DW113" s="10" t="s">
        <v>1068</v>
      </c>
      <c r="DX113" s="10" t="s">
        <v>1068</v>
      </c>
      <c r="DY113" s="10" t="s">
        <v>1068</v>
      </c>
      <c r="DZ113" s="10" t="s">
        <v>1068</v>
      </c>
      <c r="EA113" s="10" t="s">
        <v>1068</v>
      </c>
      <c r="EB113" s="10" t="s">
        <v>1068</v>
      </c>
      <c r="EC113" s="10" t="s">
        <v>1068</v>
      </c>
      <c r="ED113" s="10" t="s">
        <v>1068</v>
      </c>
      <c r="EE113" s="10" t="s">
        <v>1068</v>
      </c>
      <c r="EF113" s="10" t="s">
        <v>1068</v>
      </c>
      <c r="EG113" s="10" t="s">
        <v>1068</v>
      </c>
      <c r="EH113" s="10" t="s">
        <v>1068</v>
      </c>
      <c r="EI113" s="10" t="s">
        <v>1068</v>
      </c>
      <c r="EJ113" s="10" t="s">
        <v>1068</v>
      </c>
      <c r="EK113" s="10" t="s">
        <v>1068</v>
      </c>
      <c r="EL113" s="10" t="s">
        <v>1068</v>
      </c>
      <c r="EM113" s="10" t="s">
        <v>1068</v>
      </c>
      <c r="EN113" s="10" t="s">
        <v>1068</v>
      </c>
      <c r="EO113" s="10" t="s">
        <v>1068</v>
      </c>
      <c r="EP113" s="10" t="s">
        <v>1068</v>
      </c>
      <c r="EQ113" s="10" t="s">
        <v>1068</v>
      </c>
      <c r="ER113" s="10" t="s">
        <v>1068</v>
      </c>
      <c r="ES113" s="10" t="s">
        <v>1068</v>
      </c>
      <c r="ET113" s="10" t="s">
        <v>1068</v>
      </c>
      <c r="EU113" s="10" t="s">
        <v>1068</v>
      </c>
      <c r="EV113" s="10" t="s">
        <v>1068</v>
      </c>
      <c r="EW113" s="10" t="s">
        <v>1068</v>
      </c>
      <c r="EX113" s="10" t="s">
        <v>1068</v>
      </c>
      <c r="EY113" s="10" t="s">
        <v>1068</v>
      </c>
      <c r="EZ113" s="10" t="s">
        <v>1068</v>
      </c>
      <c r="FA113" s="10" t="s">
        <v>1068</v>
      </c>
      <c r="FB113" s="10" t="s">
        <v>1068</v>
      </c>
      <c r="FC113" s="10" t="s">
        <v>1068</v>
      </c>
      <c r="FD113" s="10" t="s">
        <v>1068</v>
      </c>
      <c r="FE113" s="10" t="s">
        <v>1068</v>
      </c>
      <c r="FF113" s="10" t="s">
        <v>1068</v>
      </c>
      <c r="FG113" s="10" t="s">
        <v>1068</v>
      </c>
      <c r="FH113" s="10" t="s">
        <v>1068</v>
      </c>
      <c r="FI113" s="10" t="s">
        <v>1068</v>
      </c>
      <c r="FJ113" s="10" t="s">
        <v>1068</v>
      </c>
      <c r="FK113" s="10" t="s">
        <v>1068</v>
      </c>
      <c r="FL113" s="10" t="s">
        <v>1068</v>
      </c>
      <c r="FM113" s="10" t="s">
        <v>1068</v>
      </c>
      <c r="FN113" s="10" t="s">
        <v>1068</v>
      </c>
      <c r="FO113" s="10" t="s">
        <v>1068</v>
      </c>
      <c r="FP113" s="10" t="s">
        <v>1068</v>
      </c>
      <c r="FQ113" s="10" t="s">
        <v>1068</v>
      </c>
      <c r="FR113" s="10" t="s">
        <v>1068</v>
      </c>
      <c r="FS113" s="10" t="s">
        <v>1068</v>
      </c>
      <c r="FT113" s="10" t="s">
        <v>1068</v>
      </c>
      <c r="FU113" s="10" t="s">
        <v>1068</v>
      </c>
      <c r="FV113" s="10" t="s">
        <v>1068</v>
      </c>
      <c r="FW113" s="10" t="s">
        <v>1068</v>
      </c>
      <c r="FX113" s="10" t="s">
        <v>1068</v>
      </c>
      <c r="FY113" s="10" t="s">
        <v>1068</v>
      </c>
      <c r="FZ113" s="10" t="s">
        <v>1068</v>
      </c>
      <c r="GA113" s="10" t="s">
        <v>1068</v>
      </c>
      <c r="GB113" s="10" t="s">
        <v>1068</v>
      </c>
      <c r="GC113" s="10" t="s">
        <v>1068</v>
      </c>
      <c r="GD113" s="10" t="s">
        <v>1068</v>
      </c>
      <c r="GE113" s="10" t="s">
        <v>1068</v>
      </c>
      <c r="GF113" s="10" t="s">
        <v>1068</v>
      </c>
      <c r="GG113" s="10" t="s">
        <v>1068</v>
      </c>
      <c r="GH113" s="10" t="s">
        <v>1068</v>
      </c>
      <c r="GI113" s="10" t="s">
        <v>1068</v>
      </c>
      <c r="GJ113" s="10" t="s">
        <v>1068</v>
      </c>
      <c r="GK113" s="10" t="s">
        <v>1068</v>
      </c>
      <c r="GL113" s="10" t="s">
        <v>1068</v>
      </c>
      <c r="GM113" s="10" t="s">
        <v>1068</v>
      </c>
      <c r="GN113" s="10" t="s">
        <v>1068</v>
      </c>
      <c r="GO113" s="10" t="s">
        <v>1068</v>
      </c>
      <c r="GP113" s="10" t="s">
        <v>1068</v>
      </c>
      <c r="GQ113" s="10" t="s">
        <v>1068</v>
      </c>
      <c r="GR113" s="10" t="s">
        <v>1068</v>
      </c>
      <c r="GS113" s="10" t="s">
        <v>1068</v>
      </c>
      <c r="GT113" s="10" t="s">
        <v>1068</v>
      </c>
      <c r="GU113" s="10" t="s">
        <v>1068</v>
      </c>
      <c r="GV113" s="10" t="s">
        <v>1068</v>
      </c>
      <c r="GW113" s="10" t="s">
        <v>1068</v>
      </c>
      <c r="GX113" s="10" t="s">
        <v>1068</v>
      </c>
      <c r="GY113" s="10" t="s">
        <v>1068</v>
      </c>
      <c r="GZ113" s="10" t="s">
        <v>1068</v>
      </c>
      <c r="HA113" s="10" t="s">
        <v>1068</v>
      </c>
      <c r="HB113" s="10" t="s">
        <v>1068</v>
      </c>
      <c r="HC113" s="10" t="s">
        <v>1068</v>
      </c>
      <c r="HD113" s="10" t="s">
        <v>1068</v>
      </c>
      <c r="HE113" s="10" t="s">
        <v>1068</v>
      </c>
      <c r="HF113" s="10" t="s">
        <v>1068</v>
      </c>
      <c r="HG113" s="10" t="s">
        <v>1068</v>
      </c>
      <c r="HH113" s="10" t="s">
        <v>1068</v>
      </c>
      <c r="HI113" s="10" t="s">
        <v>1068</v>
      </c>
      <c r="HJ113" s="10" t="s">
        <v>1068</v>
      </c>
      <c r="HK113" s="10" t="s">
        <v>1068</v>
      </c>
      <c r="HL113" s="10" t="s">
        <v>1068</v>
      </c>
      <c r="HM113" s="10" t="s">
        <v>1068</v>
      </c>
      <c r="HN113" s="10" t="s">
        <v>1068</v>
      </c>
      <c r="HO113" s="10" t="s">
        <v>1068</v>
      </c>
      <c r="HP113" s="10" t="s">
        <v>1068</v>
      </c>
      <c r="HQ113" s="10" t="s">
        <v>1068</v>
      </c>
      <c r="HR113" s="10" t="s">
        <v>1068</v>
      </c>
      <c r="HS113" s="10" t="s">
        <v>1068</v>
      </c>
      <c r="HT113" s="10" t="s">
        <v>1068</v>
      </c>
      <c r="HU113" s="10" t="s">
        <v>1068</v>
      </c>
      <c r="HV113" s="10" t="s">
        <v>1068</v>
      </c>
      <c r="HW113" s="10" t="s">
        <v>1068</v>
      </c>
      <c r="HX113" s="10" t="s">
        <v>1068</v>
      </c>
      <c r="HY113" s="10" t="s">
        <v>1068</v>
      </c>
      <c r="HZ113" s="10" t="s">
        <v>1068</v>
      </c>
      <c r="IA113" s="10" t="s">
        <v>1068</v>
      </c>
      <c r="IB113" s="10" t="s">
        <v>1068</v>
      </c>
      <c r="IC113" s="10" t="s">
        <v>1068</v>
      </c>
      <c r="ID113" s="10" t="s">
        <v>1068</v>
      </c>
      <c r="IE113" s="10" t="s">
        <v>1068</v>
      </c>
      <c r="IF113" s="10" t="s">
        <v>1068</v>
      </c>
      <c r="IG113" s="10" t="s">
        <v>1068</v>
      </c>
      <c r="IH113" s="10" t="s">
        <v>1068</v>
      </c>
      <c r="II113" s="10" t="s">
        <v>1068</v>
      </c>
      <c r="IJ113" s="12"/>
      <c r="IK113" s="12"/>
      <c r="IL113" s="12"/>
      <c r="IM113" s="12"/>
      <c r="IN113" s="12"/>
      <c r="IO113" s="12"/>
      <c r="IP113" s="12"/>
      <c r="IQ113" s="12"/>
      <c r="IR113" s="12"/>
      <c r="IS113" s="12"/>
      <c r="IT113" s="12"/>
      <c r="IU113" s="12"/>
      <c r="IV113" s="12"/>
      <c r="IW113" s="12"/>
      <c r="IX113" s="12"/>
      <c r="IY113" s="12"/>
      <c r="IZ113" s="12"/>
      <c r="JA113" s="12"/>
      <c r="JB113" s="12"/>
      <c r="JC113" s="12"/>
      <c r="JD113" s="12"/>
      <c r="JE113" s="12"/>
      <c r="JF113" s="12"/>
      <c r="JG113" s="12"/>
      <c r="JH113" s="12"/>
      <c r="JI113" s="12"/>
      <c r="JJ113" s="12"/>
      <c r="JK113" s="12"/>
      <c r="JL113" s="12"/>
      <c r="JM113" s="12"/>
      <c r="JN113" s="12"/>
      <c r="JO113" s="12"/>
      <c r="JP113" s="12"/>
      <c r="JQ113" s="12"/>
      <c r="JR113" s="12"/>
      <c r="JS113" s="12"/>
      <c r="JT113" s="12"/>
      <c r="JU113" s="12"/>
      <c r="JV113" s="12"/>
      <c r="JW113" s="12"/>
      <c r="JX113" s="12"/>
      <c r="JY113" s="12"/>
      <c r="JZ113" s="12"/>
      <c r="KA113" s="12"/>
      <c r="KB113" s="12"/>
      <c r="KC113" s="12"/>
      <c r="KD113" s="12"/>
      <c r="KE113" s="12"/>
      <c r="KF113" s="12"/>
      <c r="KG113" s="12"/>
      <c r="KH113" s="12"/>
      <c r="KI113" s="12"/>
      <c r="KJ113" s="12"/>
      <c r="KK113" s="12"/>
      <c r="KL113" s="12"/>
      <c r="KM113" s="12"/>
      <c r="KN113" s="12"/>
      <c r="KO113" s="12"/>
      <c r="KP113" s="12"/>
      <c r="KQ113" s="12"/>
      <c r="KR113" s="12"/>
      <c r="KS113" s="12"/>
      <c r="KT113" s="12"/>
      <c r="KU113" s="12"/>
      <c r="KV113" s="12"/>
      <c r="KW113" s="12"/>
      <c r="KX113" s="12"/>
    </row>
    <row r="114" customHeight="1" spans="1:310">
      <c r="A114" s="28">
        <v>45901</v>
      </c>
      <c r="B114" s="32" t="s">
        <v>1022</v>
      </c>
      <c r="C114" s="32" t="s">
        <v>1023</v>
      </c>
      <c r="D114" s="32" t="s">
        <v>134</v>
      </c>
      <c r="E114" s="49" t="s">
        <v>561</v>
      </c>
      <c r="F114" s="29" t="s">
        <v>1861</v>
      </c>
      <c r="G114" s="29" t="s">
        <v>1862</v>
      </c>
      <c r="H114" s="32">
        <v>9</v>
      </c>
      <c r="I114" s="49">
        <v>2022</v>
      </c>
      <c r="J114" s="32" t="s">
        <v>1638</v>
      </c>
      <c r="K114" s="32" t="s">
        <v>1646</v>
      </c>
      <c r="L114" s="32">
        <v>11</v>
      </c>
      <c r="M114" s="32" t="s">
        <v>1035</v>
      </c>
      <c r="N114" s="32" t="s">
        <v>1863</v>
      </c>
      <c r="O114" s="32" t="s">
        <v>1864</v>
      </c>
      <c r="P114" s="32" t="s">
        <v>1016</v>
      </c>
      <c r="Q114" s="32" t="s">
        <v>1018</v>
      </c>
      <c r="R114" s="32" t="s">
        <v>1017</v>
      </c>
      <c r="S114" s="37">
        <v>488.3</v>
      </c>
      <c r="T114" s="32">
        <v>48</v>
      </c>
      <c r="U114" s="32" t="s">
        <v>1533</v>
      </c>
      <c r="V114" s="33">
        <f>T114/S114</f>
        <v>0.0983002252713496</v>
      </c>
      <c r="W114" s="39"/>
      <c r="X114" s="39" t="s">
        <v>1865</v>
      </c>
      <c r="Y114" s="32" t="s">
        <v>1018</v>
      </c>
      <c r="Z114" s="32" t="s">
        <v>1866</v>
      </c>
      <c r="AA114" s="32" t="s">
        <v>1867</v>
      </c>
      <c r="AB114" s="32" t="s">
        <v>1868</v>
      </c>
      <c r="AC114" s="32" t="s">
        <v>37</v>
      </c>
      <c r="AD114" s="32" t="s">
        <v>1018</v>
      </c>
      <c r="AE114" s="32"/>
      <c r="AF114" s="32"/>
      <c r="AG114" s="50" t="s">
        <v>1869</v>
      </c>
      <c r="AH114" s="89"/>
      <c r="AI114" s="89"/>
      <c r="AJ114" s="89"/>
      <c r="AK114" s="89"/>
      <c r="AL114" s="89"/>
      <c r="AM114" s="89"/>
      <c r="AN114" s="89"/>
      <c r="AO114" s="89"/>
      <c r="AP114" s="89"/>
      <c r="AQ114" s="89"/>
      <c r="AR114" s="89"/>
      <c r="AS114" s="89"/>
      <c r="AT114" s="89"/>
      <c r="AU114" s="89"/>
      <c r="AV114" s="89"/>
      <c r="AW114" s="89"/>
      <c r="AX114" s="89"/>
      <c r="AY114" s="89"/>
      <c r="AZ114" s="89"/>
      <c r="BA114" s="89"/>
      <c r="BB114" s="89"/>
      <c r="BC114" s="89"/>
      <c r="BD114" s="89"/>
      <c r="BE114" s="89"/>
      <c r="BF114" s="89"/>
      <c r="BG114" s="89"/>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c r="FT114" s="10"/>
      <c r="FU114" s="10"/>
      <c r="FV114" s="10"/>
      <c r="FW114" s="10"/>
      <c r="FX114" s="10"/>
      <c r="FY114" s="10"/>
      <c r="FZ114" s="10"/>
      <c r="GA114" s="10"/>
      <c r="GB114" s="10"/>
      <c r="GC114" s="10"/>
      <c r="GD114" s="10"/>
      <c r="GE114" s="10"/>
      <c r="GF114" s="10"/>
      <c r="GG114" s="10"/>
      <c r="GH114" s="10"/>
      <c r="GI114" s="10"/>
      <c r="GJ114" s="10"/>
      <c r="GK114" s="10"/>
      <c r="GL114" s="10"/>
      <c r="GM114" s="10"/>
      <c r="GN114" s="10"/>
      <c r="GO114" s="10"/>
      <c r="GP114" s="10"/>
      <c r="GQ114" s="10"/>
      <c r="GR114" s="10"/>
      <c r="GS114" s="10"/>
      <c r="GT114" s="10"/>
      <c r="GU114" s="10"/>
      <c r="GV114" s="10"/>
      <c r="GW114" s="10"/>
      <c r="GX114" s="10"/>
      <c r="GY114" s="10"/>
      <c r="GZ114" s="10"/>
      <c r="HA114" s="10"/>
      <c r="HB114" s="10"/>
      <c r="HC114" s="10"/>
      <c r="HD114" s="10"/>
      <c r="HE114" s="10"/>
      <c r="HF114" s="10"/>
      <c r="HG114" s="10"/>
      <c r="HH114" s="10"/>
      <c r="HI114" s="10"/>
      <c r="HJ114" s="10"/>
      <c r="HK114" s="10"/>
      <c r="HL114" s="10"/>
      <c r="HM114" s="10"/>
      <c r="HN114" s="10"/>
      <c r="HO114" s="10"/>
      <c r="HP114" s="10"/>
      <c r="HQ114" s="10"/>
      <c r="HR114" s="10"/>
      <c r="HS114" s="10"/>
      <c r="HT114" s="10"/>
      <c r="HU114" s="10"/>
      <c r="HV114" s="10"/>
      <c r="HW114" s="10"/>
      <c r="HX114" s="10"/>
      <c r="HY114" s="10"/>
      <c r="HZ114" s="10"/>
      <c r="IA114" s="10"/>
      <c r="IB114" s="10"/>
      <c r="IC114" s="10"/>
      <c r="ID114" s="10"/>
      <c r="IE114" s="10"/>
      <c r="IF114" s="10"/>
      <c r="IG114" s="10"/>
      <c r="IH114" s="10"/>
      <c r="II114" s="10"/>
      <c r="IJ114" s="10"/>
      <c r="IK114" s="10"/>
      <c r="IL114" s="10"/>
      <c r="IM114" s="10"/>
      <c r="IN114" s="10"/>
      <c r="IO114" s="10"/>
      <c r="IP114" s="10"/>
      <c r="IQ114" s="10"/>
      <c r="IR114" s="10"/>
      <c r="IS114" s="10"/>
      <c r="IT114" s="10"/>
      <c r="IU114" s="10"/>
      <c r="IV114" s="10"/>
      <c r="IW114" s="10"/>
      <c r="IX114" s="10"/>
      <c r="IY114" s="10"/>
      <c r="IZ114" s="10"/>
      <c r="JA114" s="10"/>
      <c r="JB114" s="10"/>
      <c r="JC114" s="10"/>
      <c r="JD114" s="10"/>
      <c r="JE114" s="10"/>
      <c r="JF114" s="10"/>
      <c r="JG114" s="10"/>
      <c r="JH114" s="10"/>
      <c r="JI114" s="10"/>
      <c r="JJ114" s="10"/>
      <c r="JK114" s="10"/>
      <c r="JL114" s="10"/>
      <c r="JM114" s="10"/>
      <c r="JN114" s="10"/>
      <c r="JO114" s="10"/>
      <c r="JP114" s="10"/>
      <c r="JQ114" s="10"/>
      <c r="JR114" s="10"/>
      <c r="JS114" s="10"/>
      <c r="JT114" s="10"/>
      <c r="JU114" s="10"/>
      <c r="JV114" s="10"/>
      <c r="JW114" s="10"/>
      <c r="JX114" s="10"/>
      <c r="JY114" s="10"/>
      <c r="JZ114" s="10"/>
      <c r="KA114" s="10"/>
      <c r="KB114" s="10"/>
      <c r="KC114" s="10"/>
      <c r="KD114" s="10"/>
      <c r="KE114" s="10"/>
      <c r="KF114" s="10"/>
      <c r="KG114" s="10"/>
      <c r="KH114" s="10"/>
      <c r="KI114" s="10"/>
      <c r="KJ114" s="10"/>
      <c r="KK114" s="10"/>
      <c r="KL114" s="10"/>
      <c r="KM114" s="10"/>
      <c r="KN114" s="10"/>
      <c r="KO114" s="10"/>
      <c r="KP114" s="10"/>
      <c r="KQ114" s="10"/>
      <c r="KR114" s="10"/>
      <c r="KS114" s="10"/>
      <c r="KT114" s="10"/>
      <c r="KU114" s="10"/>
      <c r="KV114" s="10"/>
      <c r="KW114" s="12"/>
      <c r="KX114" s="12"/>
    </row>
    <row r="115" s="9" customFormat="1" customHeight="1" spans="1:310">
      <c r="A115" s="28">
        <v>45901</v>
      </c>
      <c r="B115" s="32" t="s">
        <v>1022</v>
      </c>
      <c r="C115" s="32" t="s">
        <v>1023</v>
      </c>
      <c r="D115" s="32" t="s">
        <v>134</v>
      </c>
      <c r="E115" s="37" t="s">
        <v>561</v>
      </c>
      <c r="F115" s="29" t="s">
        <v>1870</v>
      </c>
      <c r="G115" s="29" t="s">
        <v>1871</v>
      </c>
      <c r="H115" s="32">
        <v>9</v>
      </c>
      <c r="I115" s="32">
        <v>2021</v>
      </c>
      <c r="J115" s="32" t="s">
        <v>1683</v>
      </c>
      <c r="K115" s="32" t="s">
        <v>1646</v>
      </c>
      <c r="L115" s="32">
        <v>11</v>
      </c>
      <c r="M115" s="49" t="s">
        <v>1013</v>
      </c>
      <c r="N115" s="49" t="s">
        <v>1757</v>
      </c>
      <c r="O115" s="32" t="s">
        <v>1872</v>
      </c>
      <c r="P115" s="32" t="s">
        <v>1016</v>
      </c>
      <c r="Q115" s="32" t="s">
        <v>1018</v>
      </c>
      <c r="R115" s="32" t="s">
        <v>1017</v>
      </c>
      <c r="S115" s="49">
        <v>230.57</v>
      </c>
      <c r="T115" s="32">
        <v>34</v>
      </c>
      <c r="U115" s="32" t="s">
        <v>1873</v>
      </c>
      <c r="V115" s="33">
        <v>0.15</v>
      </c>
      <c r="W115" s="32"/>
      <c r="X115" s="32" t="s">
        <v>1874</v>
      </c>
      <c r="Y115" s="32" t="s">
        <v>1018</v>
      </c>
      <c r="Z115" s="32" t="s">
        <v>1875</v>
      </c>
      <c r="AA115" s="32" t="s">
        <v>1876</v>
      </c>
      <c r="AB115" s="32" t="s">
        <v>1877</v>
      </c>
      <c r="AC115" s="32" t="s">
        <v>37</v>
      </c>
      <c r="AD115" s="32" t="s">
        <v>1018</v>
      </c>
      <c r="AE115" s="32"/>
      <c r="AF115" s="32"/>
      <c r="AG115" s="32"/>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10"/>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10"/>
      <c r="HH115" s="10"/>
      <c r="HI115" s="10"/>
      <c r="HJ115" s="10"/>
      <c r="HK115" s="10"/>
      <c r="HL115" s="10"/>
      <c r="HM115" s="10"/>
      <c r="HN115" s="10"/>
      <c r="HO115" s="10"/>
      <c r="HP115" s="10"/>
      <c r="HQ115" s="10"/>
      <c r="HR115" s="10"/>
      <c r="HS115" s="10"/>
      <c r="HT115" s="10"/>
      <c r="HU115" s="10"/>
      <c r="HV115" s="10"/>
      <c r="HW115" s="10"/>
      <c r="HX115" s="10"/>
      <c r="HY115" s="10"/>
      <c r="HZ115" s="10"/>
      <c r="IA115" s="10"/>
      <c r="IB115" s="10"/>
      <c r="IC115" s="10"/>
      <c r="ID115" s="10"/>
      <c r="IE115" s="10"/>
      <c r="IF115" s="10"/>
      <c r="IG115" s="10"/>
      <c r="IH115" s="10"/>
      <c r="II115" s="10"/>
      <c r="IJ115" s="10"/>
      <c r="IK115" s="10"/>
      <c r="IL115" s="10"/>
      <c r="IM115" s="10"/>
      <c r="IN115" s="10"/>
      <c r="IO115" s="10"/>
      <c r="IP115" s="10"/>
      <c r="IQ115" s="10"/>
      <c r="IR115" s="10"/>
      <c r="IS115" s="10"/>
      <c r="IT115" s="10"/>
      <c r="IU115" s="10"/>
      <c r="IV115" s="10"/>
      <c r="IW115" s="10"/>
      <c r="IX115" s="10"/>
      <c r="IY115" s="10"/>
      <c r="IZ115" s="10"/>
      <c r="JA115" s="10"/>
      <c r="JB115" s="10"/>
      <c r="JC115" s="10"/>
      <c r="JD115" s="10"/>
      <c r="JE115" s="10"/>
      <c r="JF115" s="10"/>
      <c r="JG115" s="10"/>
      <c r="JH115" s="10"/>
      <c r="JI115" s="10"/>
      <c r="JJ115" s="10"/>
      <c r="JK115" s="10"/>
      <c r="JL115" s="10"/>
      <c r="JM115" s="10"/>
      <c r="JN115" s="10"/>
      <c r="JO115" s="10"/>
      <c r="JP115" s="10"/>
      <c r="JQ115" s="10"/>
      <c r="JR115" s="10"/>
      <c r="JS115" s="10"/>
      <c r="JT115" s="10"/>
      <c r="JU115" s="10"/>
      <c r="JV115" s="10"/>
      <c r="JW115" s="10"/>
      <c r="JX115" s="10"/>
      <c r="JY115" s="10"/>
      <c r="JZ115" s="10"/>
      <c r="KA115" s="10"/>
      <c r="KB115" s="10"/>
      <c r="KC115" s="10"/>
      <c r="KD115" s="10"/>
      <c r="KE115" s="10"/>
      <c r="KF115" s="10"/>
      <c r="KG115" s="10"/>
      <c r="KH115" s="10"/>
      <c r="KI115" s="10"/>
      <c r="KJ115" s="10"/>
      <c r="KK115" s="10"/>
      <c r="KL115" s="10"/>
      <c r="KM115" s="10"/>
      <c r="KN115" s="10"/>
      <c r="KO115" s="10"/>
      <c r="KP115" s="10"/>
      <c r="KQ115" s="10"/>
      <c r="KR115" s="10"/>
      <c r="KS115" s="10"/>
      <c r="KT115" s="10"/>
      <c r="KU115" s="10"/>
      <c r="KV115" s="10"/>
      <c r="KW115" s="11"/>
      <c r="KX115" s="11"/>
    </row>
    <row r="116" s="10" customFormat="1" customHeight="1" spans="1:310">
      <c r="A116" s="28">
        <v>45901</v>
      </c>
      <c r="B116" s="32" t="s">
        <v>1022</v>
      </c>
      <c r="C116" s="32" t="s">
        <v>1023</v>
      </c>
      <c r="D116" s="32" t="s">
        <v>134</v>
      </c>
      <c r="E116" s="37" t="s">
        <v>561</v>
      </c>
      <c r="F116" s="29" t="s">
        <v>1878</v>
      </c>
      <c r="G116" s="29" t="s">
        <v>1879</v>
      </c>
      <c r="H116" s="32">
        <v>9</v>
      </c>
      <c r="I116" s="32">
        <v>2021</v>
      </c>
      <c r="J116" s="32" t="s">
        <v>1880</v>
      </c>
      <c r="K116" s="32" t="s">
        <v>1646</v>
      </c>
      <c r="L116" s="32">
        <v>11</v>
      </c>
      <c r="M116" s="49" t="s">
        <v>1827</v>
      </c>
      <c r="N116" s="49" t="s">
        <v>1757</v>
      </c>
      <c r="O116" s="32" t="s">
        <v>1881</v>
      </c>
      <c r="P116" s="32" t="s">
        <v>1016</v>
      </c>
      <c r="Q116" s="32" t="s">
        <v>1018</v>
      </c>
      <c r="R116" s="32" t="s">
        <v>1017</v>
      </c>
      <c r="S116" s="49">
        <v>314.06</v>
      </c>
      <c r="T116" s="32">
        <v>112</v>
      </c>
      <c r="U116" s="32" t="s">
        <v>1882</v>
      </c>
      <c r="V116" s="33">
        <f>T116/S116</f>
        <v>0.356619754187098</v>
      </c>
      <c r="W116" s="32" t="s">
        <v>1068</v>
      </c>
      <c r="X116" s="32" t="s">
        <v>1883</v>
      </c>
      <c r="Y116" s="32" t="s">
        <v>1249</v>
      </c>
      <c r="Z116" s="32" t="s">
        <v>1884</v>
      </c>
      <c r="AA116" s="32" t="s">
        <v>378</v>
      </c>
      <c r="AB116" s="32" t="s">
        <v>1885</v>
      </c>
      <c r="AC116" s="32" t="s">
        <v>1886</v>
      </c>
      <c r="AD116" s="32" t="s">
        <v>1018</v>
      </c>
      <c r="AE116" s="32"/>
      <c r="AF116" s="32"/>
      <c r="AG116" s="32" t="s">
        <v>1068</v>
      </c>
      <c r="KW116" s="12"/>
      <c r="KX116" s="12"/>
    </row>
    <row r="117" s="9" customFormat="1" customHeight="1" spans="1:310">
      <c r="A117" s="28">
        <v>45901</v>
      </c>
      <c r="B117" s="32" t="s">
        <v>1022</v>
      </c>
      <c r="C117" s="32" t="s">
        <v>1023</v>
      </c>
      <c r="D117" s="32" t="s">
        <v>134</v>
      </c>
      <c r="E117" s="37" t="s">
        <v>924</v>
      </c>
      <c r="F117" s="29" t="s">
        <v>1887</v>
      </c>
      <c r="G117" s="29" t="s">
        <v>1888</v>
      </c>
      <c r="H117" s="32">
        <v>9</v>
      </c>
      <c r="I117" s="32">
        <v>2022</v>
      </c>
      <c r="J117" s="32" t="s">
        <v>1839</v>
      </c>
      <c r="K117" s="32" t="s">
        <v>1646</v>
      </c>
      <c r="L117" s="32">
        <v>11</v>
      </c>
      <c r="M117" s="49" t="s">
        <v>1827</v>
      </c>
      <c r="N117" s="49" t="s">
        <v>1757</v>
      </c>
      <c r="O117" s="32">
        <v>79</v>
      </c>
      <c r="P117" s="32"/>
      <c r="Q117" s="32" t="s">
        <v>1016</v>
      </c>
      <c r="R117" s="32" t="s">
        <v>1017</v>
      </c>
      <c r="S117" s="49">
        <v>440.5</v>
      </c>
      <c r="T117" s="32">
        <v>88</v>
      </c>
      <c r="U117" s="32" t="s">
        <v>1841</v>
      </c>
      <c r="V117" s="33">
        <f>T117/S117</f>
        <v>0.199772985244041</v>
      </c>
      <c r="W117" s="32"/>
      <c r="X117" s="32"/>
      <c r="Y117" s="32" t="s">
        <v>1018</v>
      </c>
      <c r="Z117" s="32" t="s">
        <v>1264</v>
      </c>
      <c r="AA117" s="32" t="s">
        <v>1889</v>
      </c>
      <c r="AB117" s="32" t="s">
        <v>1890</v>
      </c>
      <c r="AC117" s="32" t="s">
        <v>1204</v>
      </c>
      <c r="AD117" s="32" t="s">
        <v>1018</v>
      </c>
      <c r="AE117" s="32"/>
      <c r="AF117" s="32"/>
      <c r="AG117" s="32"/>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10"/>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10"/>
      <c r="HH117" s="10"/>
      <c r="HI117" s="10"/>
      <c r="HJ117" s="10"/>
      <c r="HK117" s="10"/>
      <c r="HL117" s="10"/>
      <c r="HM117" s="10"/>
      <c r="HN117" s="10"/>
      <c r="HO117" s="10"/>
      <c r="HP117" s="10"/>
      <c r="HQ117" s="10"/>
      <c r="HR117" s="10"/>
      <c r="HS117" s="10"/>
      <c r="HT117" s="10"/>
      <c r="HU117" s="10"/>
      <c r="HV117" s="10"/>
      <c r="HW117" s="10"/>
      <c r="HX117" s="10"/>
      <c r="HY117" s="10"/>
      <c r="HZ117" s="10"/>
      <c r="IA117" s="10"/>
      <c r="IB117" s="10"/>
      <c r="IC117" s="10"/>
      <c r="ID117" s="10"/>
      <c r="IE117" s="10"/>
      <c r="IF117" s="10"/>
      <c r="IG117" s="10"/>
      <c r="IH117" s="10"/>
      <c r="II117" s="10"/>
      <c r="IJ117" s="10"/>
      <c r="IK117" s="10"/>
      <c r="IL117" s="10"/>
      <c r="IM117" s="10"/>
      <c r="IN117" s="10"/>
      <c r="IO117" s="10"/>
      <c r="IP117" s="10"/>
      <c r="IQ117" s="10"/>
      <c r="IR117" s="10"/>
      <c r="IS117" s="10"/>
      <c r="IT117" s="10"/>
      <c r="IU117" s="10"/>
      <c r="IV117" s="10"/>
      <c r="IW117" s="10"/>
      <c r="IX117" s="10"/>
      <c r="IY117" s="10"/>
      <c r="IZ117" s="10"/>
      <c r="JA117" s="10"/>
      <c r="JB117" s="10"/>
      <c r="JC117" s="10"/>
      <c r="JD117" s="10"/>
      <c r="JE117" s="10"/>
      <c r="JF117" s="10"/>
      <c r="JG117" s="10"/>
      <c r="JH117" s="10"/>
      <c r="JI117" s="10"/>
      <c r="JJ117" s="10"/>
      <c r="JK117" s="10"/>
      <c r="JL117" s="10"/>
      <c r="JM117" s="10"/>
      <c r="JN117" s="10"/>
      <c r="JO117" s="10"/>
      <c r="JP117" s="10"/>
      <c r="JQ117" s="10"/>
      <c r="JR117" s="10"/>
      <c r="JS117" s="10"/>
      <c r="JT117" s="10"/>
      <c r="JU117" s="10"/>
      <c r="JV117" s="10"/>
      <c r="JW117" s="10"/>
      <c r="JX117" s="10"/>
      <c r="JY117" s="10"/>
      <c r="JZ117" s="10"/>
      <c r="KA117" s="10"/>
      <c r="KB117" s="10"/>
      <c r="KC117" s="10"/>
      <c r="KD117" s="10"/>
      <c r="KE117" s="10"/>
      <c r="KF117" s="10"/>
      <c r="KG117" s="10"/>
      <c r="KH117" s="10"/>
      <c r="KI117" s="10"/>
      <c r="KJ117" s="10"/>
      <c r="KK117" s="10"/>
      <c r="KL117" s="10"/>
      <c r="KM117" s="10"/>
      <c r="KN117" s="10"/>
      <c r="KO117" s="10"/>
      <c r="KP117" s="10"/>
      <c r="KQ117" s="10"/>
      <c r="KR117" s="10"/>
      <c r="KS117" s="10"/>
      <c r="KT117" s="10"/>
      <c r="KU117" s="10"/>
      <c r="KV117" s="10"/>
      <c r="KW117" s="11"/>
      <c r="KX117" s="11"/>
    </row>
    <row r="118" s="9" customFormat="1" customHeight="1" spans="1:310">
      <c r="A118" s="28">
        <v>45901</v>
      </c>
      <c r="B118" s="32" t="s">
        <v>1022</v>
      </c>
      <c r="C118" s="32" t="s">
        <v>1057</v>
      </c>
      <c r="D118" s="32" t="s">
        <v>1058</v>
      </c>
      <c r="E118" s="37" t="s">
        <v>219</v>
      </c>
      <c r="F118" s="42" t="s">
        <v>244</v>
      </c>
      <c r="G118" s="42" t="s">
        <v>1891</v>
      </c>
      <c r="H118" s="32">
        <v>9</v>
      </c>
      <c r="I118" s="32">
        <v>2020</v>
      </c>
      <c r="J118" s="32" t="s">
        <v>1892</v>
      </c>
      <c r="K118" s="32" t="s">
        <v>1893</v>
      </c>
      <c r="L118" s="32">
        <v>1</v>
      </c>
      <c r="M118" s="49" t="s">
        <v>1013</v>
      </c>
      <c r="N118" s="49" t="s">
        <v>1014</v>
      </c>
      <c r="O118" s="32" t="s">
        <v>1894</v>
      </c>
      <c r="P118" s="32" t="s">
        <v>1018</v>
      </c>
      <c r="Q118" s="32" t="s">
        <v>1018</v>
      </c>
      <c r="R118" s="32" t="s">
        <v>1039</v>
      </c>
      <c r="S118" s="49">
        <v>954.4</v>
      </c>
      <c r="T118" s="32">
        <v>365</v>
      </c>
      <c r="U118" s="32" t="s">
        <v>1342</v>
      </c>
      <c r="V118" s="33">
        <f>T118/S118</f>
        <v>0.38243922883487</v>
      </c>
      <c r="W118" s="32">
        <v>0.9143</v>
      </c>
      <c r="X118" s="32" t="s">
        <v>1895</v>
      </c>
      <c r="Y118" s="32" t="s">
        <v>1018</v>
      </c>
      <c r="Z118" s="32" t="s">
        <v>1896</v>
      </c>
      <c r="AA118" s="32" t="s">
        <v>1164</v>
      </c>
      <c r="AB118" s="32" t="s">
        <v>1897</v>
      </c>
      <c r="AC118" s="32" t="s">
        <v>1898</v>
      </c>
      <c r="AD118" s="32" t="s">
        <v>1018</v>
      </c>
      <c r="AE118" s="49" t="s">
        <v>134</v>
      </c>
      <c r="AF118" s="49" t="s">
        <v>1018</v>
      </c>
      <c r="AG118" s="41" t="s">
        <v>1081</v>
      </c>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c r="FZ118" s="10"/>
      <c r="GA118" s="10"/>
      <c r="GB118" s="10"/>
      <c r="GC118" s="10"/>
      <c r="GD118" s="10"/>
      <c r="GE118" s="10"/>
      <c r="GF118" s="10"/>
      <c r="GG118" s="10"/>
      <c r="GH118" s="10"/>
      <c r="GI118" s="10"/>
      <c r="GJ118" s="10"/>
      <c r="GK118" s="10"/>
      <c r="GL118" s="10"/>
      <c r="GM118" s="10"/>
      <c r="GN118" s="10"/>
      <c r="GO118" s="10"/>
      <c r="GP118" s="10"/>
      <c r="GQ118" s="10"/>
      <c r="GR118" s="10"/>
      <c r="GS118" s="10"/>
      <c r="GT118" s="10"/>
      <c r="GU118" s="10"/>
      <c r="GV118" s="10"/>
      <c r="GW118" s="10"/>
      <c r="GX118" s="10"/>
      <c r="GY118" s="10"/>
      <c r="GZ118" s="10"/>
      <c r="HA118" s="10"/>
      <c r="HB118" s="10"/>
      <c r="HC118" s="10"/>
      <c r="HD118" s="10"/>
      <c r="HE118" s="10"/>
      <c r="HF118" s="10"/>
      <c r="HG118" s="10"/>
      <c r="HH118" s="10"/>
      <c r="HI118" s="10"/>
      <c r="HJ118" s="10"/>
      <c r="HK118" s="10"/>
      <c r="HL118" s="10"/>
      <c r="HM118" s="10"/>
      <c r="HN118" s="10"/>
      <c r="HO118" s="10"/>
      <c r="HP118" s="10"/>
      <c r="HQ118" s="10"/>
      <c r="HR118" s="10"/>
      <c r="HS118" s="10"/>
      <c r="HT118" s="10"/>
      <c r="HU118" s="10"/>
      <c r="HV118" s="10"/>
      <c r="HW118" s="10"/>
      <c r="HX118" s="10"/>
      <c r="HY118" s="10"/>
      <c r="HZ118" s="10"/>
      <c r="IA118" s="10"/>
      <c r="IB118" s="10"/>
      <c r="IC118" s="10"/>
      <c r="ID118" s="10"/>
      <c r="IE118" s="10"/>
      <c r="IF118" s="10"/>
      <c r="IG118" s="10"/>
      <c r="IH118" s="10"/>
      <c r="II118" s="10"/>
      <c r="IJ118" s="10"/>
      <c r="IK118" s="10"/>
      <c r="IL118" s="10"/>
      <c r="IM118" s="10"/>
      <c r="IN118" s="10"/>
      <c r="IO118" s="10"/>
      <c r="IP118" s="10"/>
      <c r="IQ118" s="10"/>
      <c r="IR118" s="10"/>
      <c r="IS118" s="10"/>
      <c r="IT118" s="10"/>
      <c r="IU118" s="10"/>
      <c r="IV118" s="10"/>
      <c r="IW118" s="10"/>
      <c r="IX118" s="10"/>
      <c r="IY118" s="10"/>
      <c r="IZ118" s="10"/>
      <c r="JA118" s="10"/>
      <c r="JB118" s="10"/>
      <c r="JC118" s="10"/>
      <c r="JD118" s="10"/>
      <c r="JE118" s="10"/>
      <c r="JF118" s="10"/>
      <c r="JG118" s="10"/>
      <c r="JH118" s="10"/>
      <c r="JI118" s="10"/>
      <c r="JJ118" s="10"/>
      <c r="JK118" s="10"/>
      <c r="JL118" s="10"/>
      <c r="JM118" s="10"/>
      <c r="JN118" s="10"/>
      <c r="JO118" s="10"/>
      <c r="JP118" s="10"/>
      <c r="JQ118" s="10"/>
      <c r="JR118" s="10"/>
      <c r="JS118" s="10"/>
      <c r="JT118" s="10"/>
      <c r="JU118" s="10"/>
      <c r="JV118" s="10"/>
      <c r="JW118" s="10"/>
      <c r="JX118" s="10"/>
      <c r="JY118" s="10"/>
      <c r="JZ118" s="10"/>
      <c r="KA118" s="10"/>
      <c r="KB118" s="10"/>
      <c r="KC118" s="10"/>
      <c r="KD118" s="10"/>
      <c r="KE118" s="10"/>
      <c r="KF118" s="10"/>
      <c r="KG118" s="10"/>
      <c r="KH118" s="10"/>
      <c r="KI118" s="10"/>
      <c r="KJ118" s="10"/>
      <c r="KK118" s="10"/>
      <c r="KL118" s="10"/>
      <c r="KM118" s="10"/>
      <c r="KN118" s="10"/>
      <c r="KO118" s="10"/>
      <c r="KP118" s="10"/>
      <c r="KQ118" s="10"/>
      <c r="KR118" s="10"/>
      <c r="KS118" s="10"/>
      <c r="KT118" s="10"/>
      <c r="KU118" s="10"/>
      <c r="KV118" s="10"/>
      <c r="KW118" s="11"/>
      <c r="KX118" s="11"/>
    </row>
    <row r="119" s="9" customFormat="1" customHeight="1" spans="1:310">
      <c r="A119" s="28">
        <v>45901</v>
      </c>
      <c r="B119" s="32" t="s">
        <v>1022</v>
      </c>
      <c r="C119" s="51" t="s">
        <v>1057</v>
      </c>
      <c r="D119" s="32" t="s">
        <v>134</v>
      </c>
      <c r="E119" s="51" t="s">
        <v>219</v>
      </c>
      <c r="F119" s="95" t="s">
        <v>1899</v>
      </c>
      <c r="G119" s="95" t="s">
        <v>1900</v>
      </c>
      <c r="H119" s="51">
        <v>9</v>
      </c>
      <c r="I119" s="51">
        <v>2021</v>
      </c>
      <c r="J119" s="32" t="s">
        <v>1817</v>
      </c>
      <c r="K119" s="32" t="s">
        <v>1012</v>
      </c>
      <c r="L119" s="51">
        <v>1</v>
      </c>
      <c r="M119" s="32" t="s">
        <v>1013</v>
      </c>
      <c r="N119" s="32" t="s">
        <v>1014</v>
      </c>
      <c r="O119" s="51" t="s">
        <v>1901</v>
      </c>
      <c r="P119" s="51" t="s">
        <v>1018</v>
      </c>
      <c r="Q119" s="51" t="s">
        <v>1016</v>
      </c>
      <c r="R119" s="51" t="s">
        <v>1039</v>
      </c>
      <c r="S119" s="29">
        <v>454.709024458814</v>
      </c>
      <c r="T119" s="29">
        <v>208.4</v>
      </c>
      <c r="U119" s="29" t="s">
        <v>1902</v>
      </c>
      <c r="V119" s="54">
        <f>T119/S119</f>
        <v>0.458315073574873</v>
      </c>
      <c r="W119" s="51">
        <v>0.7386</v>
      </c>
      <c r="X119" s="51" t="s">
        <v>1903</v>
      </c>
      <c r="Y119" s="51" t="s">
        <v>134</v>
      </c>
      <c r="Z119" s="51" t="s">
        <v>1046</v>
      </c>
      <c r="AA119" s="51" t="s">
        <v>1046</v>
      </c>
      <c r="AB119" s="51" t="s">
        <v>1046</v>
      </c>
      <c r="AC119" s="51" t="s">
        <v>1046</v>
      </c>
      <c r="AD119" s="51" t="s">
        <v>1046</v>
      </c>
      <c r="AE119" s="51"/>
      <c r="AF119" s="51"/>
      <c r="AG119" s="51" t="s">
        <v>1046</v>
      </c>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c r="DV119" s="11"/>
      <c r="DW119" s="11"/>
      <c r="DX119" s="11"/>
      <c r="DY119" s="11"/>
      <c r="DZ119" s="11"/>
      <c r="EA119" s="11"/>
      <c r="EB119" s="11"/>
      <c r="EC119" s="11"/>
      <c r="ED119" s="11"/>
      <c r="EE119" s="11"/>
      <c r="EF119" s="11"/>
      <c r="EG119" s="11"/>
      <c r="EH119" s="11"/>
      <c r="EI119" s="11"/>
      <c r="EJ119" s="11"/>
      <c r="EK119" s="11"/>
      <c r="EL119" s="11"/>
      <c r="EM119" s="11"/>
      <c r="EN119" s="11"/>
      <c r="EO119" s="11"/>
      <c r="EP119" s="11"/>
      <c r="EQ119" s="11"/>
      <c r="ER119" s="11"/>
      <c r="ES119" s="11"/>
      <c r="ET119" s="11"/>
      <c r="EU119" s="11"/>
      <c r="EV119" s="11"/>
      <c r="EW119" s="11"/>
      <c r="EX119" s="11"/>
      <c r="EY119" s="11"/>
      <c r="EZ119" s="11"/>
      <c r="FA119" s="11"/>
      <c r="FB119" s="11"/>
      <c r="FC119" s="11"/>
      <c r="FD119" s="11"/>
      <c r="FE119" s="11"/>
      <c r="FF119" s="11"/>
      <c r="FG119" s="11"/>
      <c r="FH119" s="11"/>
      <c r="FI119" s="11"/>
      <c r="FJ119" s="11"/>
      <c r="FK119" s="11"/>
      <c r="FL119" s="11"/>
      <c r="FM119" s="11"/>
      <c r="FN119" s="11"/>
      <c r="FO119" s="11"/>
      <c r="FP119" s="11"/>
      <c r="FQ119" s="11"/>
      <c r="FR119" s="11"/>
      <c r="FS119" s="11"/>
      <c r="FT119" s="11"/>
      <c r="FU119" s="11"/>
      <c r="FV119" s="11"/>
      <c r="FW119" s="11"/>
      <c r="FX119" s="11"/>
      <c r="FY119" s="11"/>
      <c r="FZ119" s="11"/>
      <c r="GA119" s="11"/>
      <c r="GB119" s="11"/>
      <c r="GC119" s="11"/>
      <c r="GD119" s="11"/>
      <c r="GE119" s="11"/>
      <c r="GF119" s="11"/>
      <c r="GG119" s="11"/>
      <c r="GH119" s="11"/>
      <c r="GI119" s="11"/>
      <c r="GJ119" s="11"/>
      <c r="GK119" s="11"/>
      <c r="GL119" s="11"/>
      <c r="GM119" s="11"/>
      <c r="GN119" s="11"/>
      <c r="GO119" s="11"/>
      <c r="GP119" s="11"/>
      <c r="GQ119" s="11"/>
      <c r="GR119" s="11"/>
      <c r="GS119" s="11"/>
      <c r="GT119" s="11"/>
      <c r="GU119" s="11"/>
      <c r="GV119" s="11"/>
      <c r="GW119" s="11"/>
      <c r="GX119" s="11"/>
      <c r="GY119" s="11"/>
      <c r="GZ119" s="11"/>
      <c r="HA119" s="11"/>
      <c r="HB119" s="11"/>
      <c r="HC119" s="11"/>
      <c r="HD119" s="11"/>
      <c r="HE119" s="11"/>
      <c r="HF119" s="11"/>
      <c r="HG119" s="11"/>
      <c r="HH119" s="11"/>
      <c r="HI119" s="11"/>
      <c r="HJ119" s="11"/>
      <c r="HK119" s="11"/>
      <c r="HL119" s="11"/>
      <c r="HM119" s="11"/>
      <c r="HN119" s="11"/>
      <c r="HO119" s="11"/>
      <c r="HP119" s="11"/>
      <c r="HQ119" s="11"/>
      <c r="HR119" s="11"/>
      <c r="HS119" s="11"/>
      <c r="HT119" s="11"/>
      <c r="HU119" s="11"/>
      <c r="HV119" s="11"/>
      <c r="HW119" s="11"/>
      <c r="HX119" s="11"/>
      <c r="HY119" s="11"/>
      <c r="HZ119" s="11"/>
      <c r="IA119" s="11"/>
      <c r="IB119" s="11"/>
      <c r="IC119" s="11"/>
      <c r="ID119" s="11"/>
      <c r="IE119" s="11"/>
      <c r="IF119" s="11"/>
      <c r="IG119" s="11"/>
      <c r="IH119" s="11"/>
      <c r="II119" s="10"/>
    </row>
    <row r="120" s="18" customFormat="1" customHeight="1" spans="1:310">
      <c r="A120" s="28">
        <v>45931</v>
      </c>
      <c r="B120" s="32" t="s">
        <v>1022</v>
      </c>
      <c r="C120" s="49" t="s">
        <v>1150</v>
      </c>
      <c r="D120" s="49" t="s">
        <v>1151</v>
      </c>
      <c r="E120" s="49" t="s">
        <v>307</v>
      </c>
      <c r="F120" s="42" t="s">
        <v>307</v>
      </c>
      <c r="G120" s="31" t="s">
        <v>1904</v>
      </c>
      <c r="H120" s="49">
        <v>10</v>
      </c>
      <c r="I120" s="49">
        <v>2023</v>
      </c>
      <c r="J120" s="49" t="s">
        <v>1905</v>
      </c>
      <c r="K120" s="49" t="s">
        <v>1012</v>
      </c>
      <c r="L120" s="32">
        <v>1</v>
      </c>
      <c r="M120" s="29" t="s">
        <v>1013</v>
      </c>
      <c r="N120" s="29" t="s">
        <v>1014</v>
      </c>
      <c r="O120" s="49" t="s">
        <v>1906</v>
      </c>
      <c r="P120" s="49" t="s">
        <v>1018</v>
      </c>
      <c r="Q120" s="49"/>
      <c r="R120" s="49"/>
      <c r="S120" s="32">
        <v>6127</v>
      </c>
      <c r="T120" s="32">
        <v>100</v>
      </c>
      <c r="U120" s="32" t="s">
        <v>1907</v>
      </c>
      <c r="V120" s="33">
        <f>T120/S120</f>
        <v>0.0163212012404113</v>
      </c>
      <c r="W120" s="49"/>
      <c r="X120" s="49"/>
      <c r="Y120" s="49" t="s">
        <v>1018</v>
      </c>
      <c r="Z120" s="49" t="s">
        <v>1908</v>
      </c>
      <c r="AA120" s="49" t="s">
        <v>1909</v>
      </c>
      <c r="AB120" s="96" t="s">
        <v>1910</v>
      </c>
      <c r="AC120" s="49" t="s">
        <v>37</v>
      </c>
      <c r="AD120" s="32" t="s">
        <v>1018</v>
      </c>
      <c r="AE120" s="49" t="s">
        <v>134</v>
      </c>
      <c r="AF120" s="49" t="s">
        <v>1018</v>
      </c>
      <c r="AG120" s="41" t="s">
        <v>1081</v>
      </c>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c r="FZ120" s="10"/>
      <c r="GA120" s="10"/>
      <c r="GB120" s="10"/>
      <c r="GC120" s="10"/>
      <c r="GD120" s="10"/>
      <c r="GE120" s="10"/>
      <c r="GF120" s="10"/>
      <c r="GG120" s="10"/>
      <c r="GH120" s="10"/>
      <c r="GI120" s="10"/>
      <c r="GJ120" s="10"/>
      <c r="GK120" s="10"/>
      <c r="GL120" s="10"/>
      <c r="GM120" s="10"/>
      <c r="GN120" s="10"/>
      <c r="GO120" s="10"/>
      <c r="GP120" s="10"/>
      <c r="GQ120" s="10"/>
      <c r="GR120" s="10"/>
      <c r="GS120" s="10"/>
      <c r="GT120" s="10"/>
      <c r="GU120" s="10"/>
      <c r="GV120" s="10"/>
      <c r="GW120" s="10"/>
      <c r="GX120" s="10"/>
      <c r="GY120" s="10"/>
      <c r="GZ120" s="10"/>
      <c r="HA120" s="10"/>
      <c r="HB120" s="10"/>
      <c r="HC120" s="10"/>
      <c r="HD120" s="10"/>
      <c r="HE120" s="10"/>
      <c r="HF120" s="10"/>
      <c r="HG120" s="10"/>
      <c r="HH120" s="10"/>
      <c r="HI120" s="10"/>
      <c r="HJ120" s="10"/>
      <c r="HK120" s="10"/>
      <c r="HL120" s="10"/>
      <c r="HM120" s="10"/>
      <c r="HN120" s="10"/>
      <c r="HO120" s="10"/>
      <c r="HP120" s="10"/>
      <c r="HQ120" s="10"/>
      <c r="HR120" s="10"/>
      <c r="HS120" s="10"/>
      <c r="HT120" s="10"/>
      <c r="HU120" s="10"/>
      <c r="HV120" s="10"/>
      <c r="HW120" s="10"/>
      <c r="HX120" s="10"/>
      <c r="HY120" s="10"/>
      <c r="HZ120" s="10"/>
      <c r="IA120" s="10"/>
      <c r="IB120" s="10"/>
      <c r="IC120" s="10"/>
      <c r="ID120" s="10"/>
      <c r="IE120" s="10"/>
      <c r="IF120" s="10"/>
      <c r="IG120" s="10"/>
      <c r="IH120" s="10"/>
      <c r="II120" s="10"/>
      <c r="IJ120" s="10"/>
      <c r="IK120" s="10"/>
      <c r="IL120" s="10"/>
      <c r="IM120" s="10"/>
      <c r="IN120" s="10"/>
      <c r="IO120" s="10"/>
      <c r="IP120" s="10"/>
      <c r="IQ120" s="10"/>
      <c r="IR120" s="10"/>
      <c r="IS120" s="10"/>
      <c r="IT120" s="10"/>
      <c r="IU120" s="10"/>
      <c r="IV120" s="10"/>
      <c r="IW120" s="10"/>
      <c r="IX120" s="10"/>
      <c r="IY120" s="10"/>
      <c r="IZ120" s="10"/>
      <c r="JA120" s="10"/>
      <c r="JB120" s="10"/>
      <c r="JC120" s="10"/>
      <c r="JD120" s="10"/>
      <c r="JE120" s="10"/>
      <c r="JF120" s="10"/>
      <c r="JG120" s="10"/>
      <c r="JH120" s="10"/>
      <c r="JI120" s="10"/>
      <c r="JJ120" s="10"/>
      <c r="JK120" s="10"/>
      <c r="JL120" s="10"/>
      <c r="JM120" s="10"/>
      <c r="JN120" s="10"/>
      <c r="JO120" s="10"/>
      <c r="JP120" s="10"/>
      <c r="JQ120" s="10"/>
      <c r="JR120" s="10"/>
      <c r="JS120" s="10"/>
      <c r="JT120" s="10"/>
      <c r="JU120" s="10"/>
      <c r="JV120" s="10"/>
      <c r="JW120" s="10"/>
      <c r="JX120" s="10"/>
      <c r="JY120" s="10"/>
      <c r="JZ120" s="10"/>
      <c r="KA120" s="10"/>
      <c r="KB120" s="10"/>
      <c r="KC120" s="10"/>
      <c r="KD120" s="10"/>
      <c r="KE120" s="10"/>
      <c r="KF120" s="10"/>
      <c r="KG120" s="10"/>
      <c r="KH120" s="10"/>
      <c r="KI120" s="10"/>
      <c r="KJ120" s="10"/>
      <c r="KK120" s="10"/>
      <c r="KL120" s="10"/>
      <c r="KM120" s="10"/>
      <c r="KN120" s="10"/>
      <c r="KO120" s="10"/>
      <c r="KP120" s="10"/>
      <c r="KQ120" s="10"/>
      <c r="KR120" s="10"/>
      <c r="KS120" s="10"/>
      <c r="KT120" s="10"/>
      <c r="KU120" s="10"/>
      <c r="KV120" s="10"/>
      <c r="KW120" s="12"/>
      <c r="KX120" s="12"/>
    </row>
    <row r="121" s="9" customFormat="1" customHeight="1" spans="1:310">
      <c r="A121" s="28">
        <v>45931</v>
      </c>
      <c r="B121" s="29" t="s">
        <v>1022</v>
      </c>
      <c r="C121" s="30" t="s">
        <v>1032</v>
      </c>
      <c r="D121" s="30" t="s">
        <v>134</v>
      </c>
      <c r="E121" s="30" t="s">
        <v>381</v>
      </c>
      <c r="F121" s="31" t="s">
        <v>1911</v>
      </c>
      <c r="G121" s="95" t="s">
        <v>1912</v>
      </c>
      <c r="H121" s="30">
        <v>10</v>
      </c>
      <c r="I121" s="30">
        <v>2021</v>
      </c>
      <c r="J121" s="30" t="s">
        <v>1913</v>
      </c>
      <c r="K121" s="30" t="s">
        <v>1012</v>
      </c>
      <c r="L121" s="30">
        <v>1</v>
      </c>
      <c r="M121" s="29" t="s">
        <v>1013</v>
      </c>
      <c r="N121" s="29" t="s">
        <v>1014</v>
      </c>
      <c r="O121" s="30">
        <v>150</v>
      </c>
      <c r="P121" s="30" t="s">
        <v>1018</v>
      </c>
      <c r="Q121" s="30" t="s">
        <v>1018</v>
      </c>
      <c r="R121" s="30" t="s">
        <v>1039</v>
      </c>
      <c r="S121" s="29">
        <v>479.81</v>
      </c>
      <c r="T121" s="32">
        <v>95</v>
      </c>
      <c r="U121" s="30">
        <v>2025.4</v>
      </c>
      <c r="V121" s="33">
        <v>0.2</v>
      </c>
      <c r="W121" s="74"/>
      <c r="X121" s="74" t="s">
        <v>1914</v>
      </c>
      <c r="Y121" s="30" t="s">
        <v>1018</v>
      </c>
      <c r="Z121" s="30" t="s">
        <v>1915</v>
      </c>
      <c r="AA121" s="30" t="s">
        <v>1916</v>
      </c>
      <c r="AB121" s="61">
        <v>0.75</v>
      </c>
      <c r="AC121" s="30" t="s">
        <v>1204</v>
      </c>
      <c r="AD121" s="30" t="s">
        <v>1018</v>
      </c>
      <c r="AE121" s="30"/>
      <c r="AF121" s="30"/>
      <c r="AG121" s="41" t="s">
        <v>1917</v>
      </c>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c r="DV121" s="11"/>
      <c r="DW121" s="11"/>
      <c r="DX121" s="11"/>
      <c r="DY121" s="11"/>
      <c r="DZ121" s="11"/>
      <c r="EA121" s="11"/>
      <c r="EB121" s="11"/>
      <c r="EC121" s="11"/>
      <c r="ED121" s="11"/>
      <c r="EE121" s="11"/>
      <c r="EF121" s="11"/>
      <c r="EG121" s="11"/>
      <c r="EH121" s="11"/>
      <c r="EI121" s="11"/>
      <c r="EJ121" s="11"/>
      <c r="EK121" s="11"/>
      <c r="EL121" s="11"/>
      <c r="EM121" s="11"/>
      <c r="EN121" s="11"/>
      <c r="EO121" s="11"/>
      <c r="EP121" s="11"/>
      <c r="EQ121" s="11"/>
      <c r="ER121" s="11"/>
      <c r="ES121" s="11"/>
      <c r="ET121" s="11"/>
      <c r="EU121" s="11"/>
      <c r="EV121" s="11"/>
      <c r="EW121" s="11"/>
      <c r="EX121" s="11"/>
      <c r="EY121" s="11"/>
      <c r="EZ121" s="11"/>
      <c r="FA121" s="11"/>
      <c r="FB121" s="11"/>
      <c r="FC121" s="11"/>
      <c r="FD121" s="11"/>
      <c r="FE121" s="11"/>
      <c r="FF121" s="11"/>
      <c r="FG121" s="11"/>
      <c r="FH121" s="11"/>
      <c r="FI121" s="11"/>
      <c r="FJ121" s="11"/>
      <c r="FK121" s="11"/>
      <c r="FL121" s="11"/>
      <c r="FM121" s="11"/>
      <c r="FN121" s="11"/>
      <c r="FO121" s="11"/>
      <c r="FP121" s="11"/>
      <c r="FQ121" s="11"/>
      <c r="FR121" s="11"/>
      <c r="FS121" s="11"/>
      <c r="FT121" s="11"/>
      <c r="FU121" s="11"/>
      <c r="FV121" s="11"/>
      <c r="FW121" s="11"/>
      <c r="FX121" s="11"/>
      <c r="FY121" s="11"/>
      <c r="FZ121" s="11"/>
      <c r="GA121" s="11"/>
      <c r="GB121" s="11"/>
      <c r="GC121" s="11"/>
      <c r="GD121" s="11"/>
      <c r="GE121" s="11"/>
      <c r="GF121" s="11"/>
      <c r="GG121" s="11"/>
      <c r="GH121" s="11"/>
      <c r="GI121" s="11"/>
      <c r="GJ121" s="11"/>
      <c r="GK121" s="11"/>
      <c r="GL121" s="11"/>
      <c r="GM121" s="11"/>
      <c r="GN121" s="11"/>
      <c r="GO121" s="11"/>
      <c r="GP121" s="11"/>
      <c r="GQ121" s="11"/>
      <c r="GR121" s="11"/>
      <c r="GS121" s="11"/>
      <c r="GT121" s="11"/>
      <c r="GU121" s="11"/>
      <c r="GV121" s="11"/>
      <c r="GW121" s="11"/>
      <c r="GX121" s="11"/>
      <c r="GY121" s="11"/>
      <c r="GZ121" s="11"/>
      <c r="HA121" s="11"/>
      <c r="HB121" s="11"/>
      <c r="HC121" s="11"/>
      <c r="HD121" s="11"/>
      <c r="HE121" s="11"/>
      <c r="HF121" s="11"/>
      <c r="HG121" s="11"/>
      <c r="HH121" s="11"/>
      <c r="HI121" s="11"/>
      <c r="HJ121" s="11"/>
      <c r="HK121" s="11"/>
      <c r="HL121" s="11"/>
      <c r="HM121" s="11"/>
      <c r="HN121" s="11"/>
      <c r="HO121" s="11"/>
      <c r="HP121" s="11"/>
      <c r="HQ121" s="11"/>
      <c r="HR121" s="11"/>
      <c r="HS121" s="11"/>
      <c r="HT121" s="11"/>
      <c r="HU121" s="11"/>
      <c r="HV121" s="11"/>
      <c r="HW121" s="11"/>
      <c r="HX121" s="11"/>
      <c r="HY121" s="11"/>
      <c r="HZ121" s="11"/>
      <c r="IA121" s="11"/>
      <c r="IB121" s="11"/>
      <c r="IC121" s="11"/>
      <c r="ID121" s="11"/>
      <c r="IE121" s="11"/>
      <c r="IF121" s="11"/>
      <c r="IG121" s="11"/>
      <c r="IH121" s="11"/>
    </row>
    <row r="122" s="9" customFormat="1" customHeight="1" spans="1:310">
      <c r="A122" s="28">
        <v>45931</v>
      </c>
      <c r="B122" s="29" t="s">
        <v>1022</v>
      </c>
      <c r="C122" s="30" t="s">
        <v>1032</v>
      </c>
      <c r="D122" s="30" t="s">
        <v>134</v>
      </c>
      <c r="E122" s="30" t="s">
        <v>381</v>
      </c>
      <c r="F122" s="49" t="s">
        <v>1918</v>
      </c>
      <c r="G122" s="49" t="s">
        <v>1919</v>
      </c>
      <c r="H122" s="30">
        <v>10</v>
      </c>
      <c r="I122" s="30">
        <v>2020</v>
      </c>
      <c r="J122" s="30" t="s">
        <v>1920</v>
      </c>
      <c r="K122" s="30" t="s">
        <v>1921</v>
      </c>
      <c r="L122" s="30">
        <v>1</v>
      </c>
      <c r="M122" s="29" t="s">
        <v>1013</v>
      </c>
      <c r="N122" s="29" t="s">
        <v>1014</v>
      </c>
      <c r="O122" s="30" t="s">
        <v>1922</v>
      </c>
      <c r="P122" s="30" t="s">
        <v>1018</v>
      </c>
      <c r="Q122" s="30" t="s">
        <v>1018</v>
      </c>
      <c r="R122" s="30" t="s">
        <v>1039</v>
      </c>
      <c r="S122" s="29">
        <v>387.32</v>
      </c>
      <c r="T122" s="29">
        <v>105</v>
      </c>
      <c r="U122" s="29" t="s">
        <v>1923</v>
      </c>
      <c r="V122" s="46">
        <f>T122/S122</f>
        <v>0.27109366931736</v>
      </c>
      <c r="W122" s="34">
        <f>2389/(125*105)</f>
        <v>0.182019047619048</v>
      </c>
      <c r="X122" s="34" t="s">
        <v>1924</v>
      </c>
      <c r="Y122" s="30" t="s">
        <v>1018</v>
      </c>
      <c r="Z122" s="30" t="s">
        <v>1925</v>
      </c>
      <c r="AA122" s="30" t="s">
        <v>1814</v>
      </c>
      <c r="AB122" s="61">
        <v>0.6</v>
      </c>
      <c r="AC122" s="30" t="s">
        <v>1596</v>
      </c>
      <c r="AD122" s="30" t="s">
        <v>1018</v>
      </c>
      <c r="AE122" s="30"/>
      <c r="AF122" s="30"/>
      <c r="AG122" s="30" t="s">
        <v>1926</v>
      </c>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c r="GS122" s="12"/>
      <c r="GT122" s="12"/>
      <c r="GU122" s="12"/>
      <c r="GV122" s="12"/>
      <c r="GW122" s="12"/>
      <c r="GX122" s="12"/>
      <c r="GY122" s="12"/>
      <c r="GZ122" s="12"/>
      <c r="HA122" s="12"/>
      <c r="HB122" s="12"/>
      <c r="HC122" s="12"/>
      <c r="HD122" s="12"/>
      <c r="HE122" s="12"/>
      <c r="HF122" s="12"/>
      <c r="HG122" s="12"/>
      <c r="HH122" s="12"/>
      <c r="HI122" s="12"/>
      <c r="HJ122" s="12"/>
      <c r="HK122" s="12"/>
      <c r="HL122" s="12"/>
      <c r="HM122" s="12"/>
      <c r="HN122" s="12"/>
      <c r="HO122" s="12"/>
      <c r="HP122" s="12"/>
      <c r="HQ122" s="12"/>
      <c r="HR122" s="12"/>
      <c r="HS122" s="12"/>
      <c r="HT122" s="12"/>
      <c r="HU122" s="12"/>
      <c r="HV122" s="12"/>
      <c r="HW122" s="12"/>
      <c r="HX122" s="12"/>
      <c r="HY122" s="12"/>
      <c r="HZ122" s="12"/>
      <c r="IA122" s="12"/>
      <c r="IB122" s="12"/>
      <c r="IC122" s="12"/>
      <c r="ID122" s="12"/>
      <c r="IE122" s="12"/>
      <c r="IF122" s="12"/>
      <c r="IG122" s="12"/>
      <c r="IH122" s="12"/>
    </row>
    <row r="123" s="20" customFormat="1" customHeight="1" spans="1:310">
      <c r="A123" s="28">
        <v>45931</v>
      </c>
      <c r="B123" s="29" t="s">
        <v>1022</v>
      </c>
      <c r="C123" s="49" t="s">
        <v>1007</v>
      </c>
      <c r="D123" s="49" t="s">
        <v>1215</v>
      </c>
      <c r="E123" s="49" t="s">
        <v>811</v>
      </c>
      <c r="F123" s="31" t="s">
        <v>1927</v>
      </c>
      <c r="G123" s="31" t="s">
        <v>1928</v>
      </c>
      <c r="H123" s="49">
        <v>10</v>
      </c>
      <c r="I123" s="49">
        <v>2021</v>
      </c>
      <c r="J123" s="76" t="s">
        <v>1929</v>
      </c>
      <c r="K123" s="76" t="s">
        <v>1012</v>
      </c>
      <c r="L123" s="49">
        <v>1</v>
      </c>
      <c r="M123" s="29" t="s">
        <v>1013</v>
      </c>
      <c r="N123" s="29" t="s">
        <v>1014</v>
      </c>
      <c r="O123" s="49" t="s">
        <v>1930</v>
      </c>
      <c r="P123" s="49" t="s">
        <v>1016</v>
      </c>
      <c r="Q123" s="49" t="s">
        <v>1018</v>
      </c>
      <c r="R123" s="49" t="s">
        <v>1017</v>
      </c>
      <c r="S123" s="38">
        <v>7461.02</v>
      </c>
      <c r="T123" s="49">
        <f>110/3</f>
        <v>36.6666666666667</v>
      </c>
      <c r="U123" s="49">
        <v>2024</v>
      </c>
      <c r="V123" s="77">
        <f>T123/S123</f>
        <v>0.00491443082402495</v>
      </c>
      <c r="W123" s="49">
        <v>1.456</v>
      </c>
      <c r="X123" s="49"/>
      <c r="Y123" s="49" t="s">
        <v>1018</v>
      </c>
      <c r="Z123" s="49" t="s">
        <v>1884</v>
      </c>
      <c r="AA123" s="49" t="s">
        <v>1931</v>
      </c>
      <c r="AB123" s="49" t="s">
        <v>1932</v>
      </c>
      <c r="AC123" s="49" t="s">
        <v>367</v>
      </c>
      <c r="AD123" s="49" t="s">
        <v>1933</v>
      </c>
      <c r="AE123" s="49" t="s">
        <v>134</v>
      </c>
      <c r="AF123" s="49" t="s">
        <v>1018</v>
      </c>
      <c r="AG123" s="49"/>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c r="CU123" s="13"/>
      <c r="CV123" s="13"/>
      <c r="CW123" s="13"/>
      <c r="CX123" s="13"/>
      <c r="CY123" s="13"/>
      <c r="CZ123" s="13"/>
      <c r="DA123" s="13"/>
      <c r="DB123" s="13"/>
      <c r="DC123" s="13"/>
      <c r="DD123" s="13"/>
      <c r="DE123" s="13"/>
      <c r="DF123" s="13"/>
      <c r="DG123" s="13"/>
      <c r="DH123" s="13"/>
      <c r="DI123" s="13"/>
      <c r="DJ123" s="13"/>
      <c r="DK123" s="13"/>
      <c r="DL123" s="13"/>
      <c r="DM123" s="13"/>
      <c r="DN123" s="13"/>
      <c r="DO123" s="13"/>
      <c r="DP123" s="13"/>
      <c r="DQ123" s="13"/>
      <c r="DR123" s="13"/>
      <c r="DS123" s="11"/>
      <c r="DT123" s="11"/>
      <c r="DU123" s="11"/>
      <c r="DV123" s="11"/>
      <c r="DW123" s="11"/>
      <c r="DX123" s="11"/>
      <c r="DY123" s="11"/>
      <c r="DZ123" s="11"/>
      <c r="EA123" s="11"/>
      <c r="EB123" s="11"/>
      <c r="EC123" s="11"/>
      <c r="ED123" s="11"/>
      <c r="EE123" s="11"/>
      <c r="EF123" s="11"/>
      <c r="EG123" s="11"/>
      <c r="EH123" s="11"/>
      <c r="EI123" s="11"/>
      <c r="EJ123" s="11"/>
      <c r="EK123" s="11"/>
      <c r="EL123" s="11"/>
      <c r="EM123" s="11"/>
      <c r="EN123" s="11"/>
      <c r="EO123" s="11"/>
      <c r="EP123" s="11"/>
      <c r="EQ123" s="11"/>
      <c r="ER123" s="11"/>
      <c r="ES123" s="11"/>
      <c r="ET123" s="11"/>
      <c r="EU123" s="11"/>
      <c r="EV123" s="11"/>
      <c r="EW123" s="11"/>
      <c r="EX123" s="11"/>
      <c r="EY123" s="11"/>
      <c r="EZ123" s="11"/>
      <c r="FA123" s="11"/>
      <c r="FB123" s="11"/>
      <c r="FC123" s="11"/>
      <c r="FD123" s="11"/>
      <c r="FE123" s="11"/>
      <c r="FF123" s="11"/>
      <c r="FG123" s="11"/>
      <c r="FH123" s="11"/>
      <c r="FI123" s="11"/>
      <c r="FJ123" s="11"/>
      <c r="FK123" s="11"/>
      <c r="FL123" s="11"/>
      <c r="FM123" s="11"/>
      <c r="FN123" s="11"/>
      <c r="FO123" s="11"/>
      <c r="FP123" s="11"/>
      <c r="FQ123" s="11"/>
      <c r="FR123" s="11"/>
      <c r="FS123" s="11"/>
      <c r="FT123" s="11"/>
      <c r="FU123" s="11"/>
      <c r="FV123" s="11"/>
      <c r="FW123" s="11"/>
      <c r="FX123" s="11"/>
      <c r="FY123" s="11"/>
      <c r="FZ123" s="11"/>
      <c r="GA123" s="11"/>
      <c r="GB123" s="11"/>
      <c r="GC123" s="11"/>
      <c r="GD123" s="11"/>
      <c r="GE123" s="11"/>
      <c r="GF123" s="11"/>
      <c r="GG123" s="11"/>
      <c r="GH123" s="11"/>
      <c r="GI123" s="11"/>
      <c r="GJ123" s="11"/>
      <c r="GK123" s="11"/>
      <c r="GL123" s="11"/>
      <c r="GM123" s="11"/>
      <c r="GN123" s="11"/>
      <c r="GO123" s="11"/>
      <c r="GP123" s="11"/>
      <c r="GQ123" s="11"/>
      <c r="GR123" s="11"/>
      <c r="GS123" s="11"/>
      <c r="GT123" s="11"/>
      <c r="GU123" s="11"/>
      <c r="GV123" s="11"/>
      <c r="GW123" s="11"/>
      <c r="GX123" s="11"/>
      <c r="GY123" s="11"/>
      <c r="GZ123" s="11"/>
      <c r="HA123" s="11"/>
      <c r="HB123" s="11"/>
      <c r="HC123" s="11"/>
      <c r="HD123" s="11"/>
      <c r="HE123" s="11"/>
      <c r="HF123" s="11"/>
      <c r="HG123" s="11"/>
      <c r="HH123" s="11"/>
      <c r="HI123" s="11"/>
      <c r="HJ123" s="11"/>
      <c r="HK123" s="11"/>
      <c r="HL123" s="11"/>
      <c r="HM123" s="11"/>
      <c r="HN123" s="11"/>
      <c r="HO123" s="11"/>
      <c r="HP123" s="11"/>
      <c r="HQ123" s="11"/>
      <c r="HR123" s="11"/>
      <c r="HS123" s="11"/>
      <c r="HT123" s="11"/>
      <c r="HU123" s="11"/>
      <c r="HV123" s="11"/>
      <c r="HW123" s="11"/>
      <c r="HX123" s="11"/>
      <c r="HY123" s="11"/>
      <c r="HZ123" s="11"/>
      <c r="IA123" s="11"/>
      <c r="IB123" s="11"/>
      <c r="IC123" s="11"/>
      <c r="ID123" s="11"/>
      <c r="IE123" s="11"/>
      <c r="IF123" s="11"/>
      <c r="IG123" s="11"/>
      <c r="IH123" s="11"/>
      <c r="II123" s="11"/>
      <c r="IJ123" s="11"/>
      <c r="IK123" s="11"/>
      <c r="IL123" s="11"/>
      <c r="IM123" s="11"/>
      <c r="IN123" s="11"/>
      <c r="IO123" s="11"/>
      <c r="IP123" s="11"/>
      <c r="IQ123" s="11"/>
      <c r="IR123" s="11"/>
      <c r="IS123" s="11"/>
      <c r="IT123" s="11"/>
      <c r="IU123" s="11"/>
      <c r="IV123" s="11"/>
      <c r="IW123" s="11"/>
      <c r="IX123" s="11"/>
      <c r="IY123" s="11"/>
      <c r="IZ123" s="11"/>
      <c r="JA123" s="11"/>
      <c r="JB123" s="11"/>
      <c r="JC123" s="11"/>
      <c r="JD123" s="11"/>
      <c r="JE123" s="11"/>
      <c r="JF123" s="11"/>
      <c r="JG123" s="11"/>
      <c r="JH123" s="11"/>
      <c r="JI123" s="11"/>
      <c r="JJ123" s="11"/>
      <c r="JK123" s="11"/>
      <c r="JL123" s="11"/>
      <c r="JM123" s="11"/>
      <c r="JN123" s="11"/>
      <c r="JO123" s="11"/>
      <c r="JP123" s="11"/>
      <c r="JQ123" s="11"/>
      <c r="JR123" s="11"/>
      <c r="JS123" s="11"/>
      <c r="JT123" s="11"/>
      <c r="JU123" s="11"/>
      <c r="JV123" s="11"/>
      <c r="JW123" s="11"/>
      <c r="JX123" s="11"/>
      <c r="JY123" s="11"/>
      <c r="JZ123" s="11"/>
      <c r="KA123" s="11"/>
      <c r="KB123" s="11"/>
      <c r="KC123" s="11"/>
      <c r="KD123" s="11"/>
      <c r="KE123" s="11"/>
      <c r="KF123" s="11"/>
      <c r="KG123" s="11"/>
      <c r="KH123" s="11"/>
      <c r="KI123" s="11"/>
      <c r="KJ123" s="11"/>
      <c r="KK123" s="11"/>
      <c r="KL123" s="11"/>
      <c r="KM123" s="11"/>
      <c r="KN123" s="11"/>
      <c r="KO123" s="11"/>
      <c r="KP123" s="11"/>
      <c r="KQ123" s="11"/>
      <c r="KR123" s="11"/>
      <c r="KS123" s="11"/>
      <c r="KT123" s="11"/>
      <c r="KU123" s="11"/>
      <c r="KV123" s="11"/>
      <c r="KW123" s="22"/>
      <c r="KX123" s="22"/>
    </row>
    <row r="124" s="9" customFormat="1" customHeight="1" spans="1:310">
      <c r="A124" s="28">
        <v>45931</v>
      </c>
      <c r="B124" s="29" t="s">
        <v>1006</v>
      </c>
      <c r="C124" s="30" t="s">
        <v>1007</v>
      </c>
      <c r="D124" s="30" t="s">
        <v>1215</v>
      </c>
      <c r="E124" s="30" t="s">
        <v>811</v>
      </c>
      <c r="F124" s="31" t="s">
        <v>1927</v>
      </c>
      <c r="G124" s="31" t="s">
        <v>1934</v>
      </c>
      <c r="H124" s="30">
        <v>10</v>
      </c>
      <c r="I124" s="30">
        <v>2025</v>
      </c>
      <c r="J124" s="30" t="s">
        <v>1913</v>
      </c>
      <c r="K124" s="30" t="s">
        <v>1012</v>
      </c>
      <c r="L124" s="30">
        <v>1</v>
      </c>
      <c r="M124" s="29" t="s">
        <v>1013</v>
      </c>
      <c r="N124" s="29" t="s">
        <v>1014</v>
      </c>
      <c r="O124" s="30" t="s">
        <v>1935</v>
      </c>
      <c r="P124" s="30" t="s">
        <v>1018</v>
      </c>
      <c r="Q124" s="30" t="s">
        <v>1018</v>
      </c>
      <c r="R124" s="30"/>
      <c r="S124" s="29">
        <v>7461.02</v>
      </c>
      <c r="T124" s="29">
        <v>60</v>
      </c>
      <c r="U124" s="29" t="s">
        <v>1936</v>
      </c>
      <c r="V124" s="46"/>
      <c r="W124" s="34"/>
      <c r="X124" s="34"/>
      <c r="Y124" s="30"/>
      <c r="Z124" s="30" t="s">
        <v>1937</v>
      </c>
      <c r="AA124" s="30" t="s">
        <v>1938</v>
      </c>
      <c r="AB124" s="61" t="s">
        <v>1939</v>
      </c>
      <c r="AC124" s="30" t="s">
        <v>367</v>
      </c>
      <c r="AD124" s="30" t="s">
        <v>1018</v>
      </c>
      <c r="AE124" s="49" t="s">
        <v>134</v>
      </c>
      <c r="AF124" s="49" t="s">
        <v>1018</v>
      </c>
      <c r="AG124" s="30" t="s">
        <v>1940</v>
      </c>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c r="GS124" s="12"/>
      <c r="GT124" s="12"/>
      <c r="GU124" s="12"/>
      <c r="GV124" s="12"/>
      <c r="GW124" s="12"/>
      <c r="GX124" s="12"/>
      <c r="GY124" s="12"/>
      <c r="GZ124" s="12"/>
      <c r="HA124" s="12"/>
      <c r="HB124" s="12"/>
      <c r="HC124" s="12"/>
      <c r="HD124" s="12"/>
      <c r="HE124" s="12"/>
      <c r="HF124" s="12"/>
      <c r="HG124" s="12"/>
      <c r="HH124" s="12"/>
      <c r="HI124" s="12"/>
      <c r="HJ124" s="12"/>
      <c r="HK124" s="12"/>
      <c r="HL124" s="12"/>
      <c r="HM124" s="12"/>
      <c r="HN124" s="12"/>
      <c r="HO124" s="12"/>
      <c r="HP124" s="12"/>
      <c r="HQ124" s="12"/>
      <c r="HR124" s="12"/>
      <c r="HS124" s="12"/>
      <c r="HT124" s="12"/>
      <c r="HU124" s="12"/>
      <c r="HV124" s="12"/>
      <c r="HW124" s="12"/>
      <c r="HX124" s="12"/>
      <c r="HY124" s="12"/>
      <c r="HZ124" s="12"/>
      <c r="IA124" s="12"/>
      <c r="IB124" s="12"/>
      <c r="IC124" s="12"/>
      <c r="ID124" s="12"/>
      <c r="IE124" s="12"/>
      <c r="IF124" s="12"/>
      <c r="IG124" s="12"/>
      <c r="IH124" s="12"/>
      <c r="KW124" s="13"/>
      <c r="KX124" s="13"/>
    </row>
    <row r="125" s="9" customFormat="1" customHeight="1" spans="1:310">
      <c r="A125" s="28">
        <v>45931</v>
      </c>
      <c r="B125" s="29" t="s">
        <v>1022</v>
      </c>
      <c r="C125" s="32" t="s">
        <v>1007</v>
      </c>
      <c r="D125" s="32" t="s">
        <v>1215</v>
      </c>
      <c r="E125" s="32" t="s">
        <v>811</v>
      </c>
      <c r="F125" s="31" t="s">
        <v>1941</v>
      </c>
      <c r="G125" s="31" t="s">
        <v>1942</v>
      </c>
      <c r="H125" s="30">
        <v>10</v>
      </c>
      <c r="I125" s="32">
        <v>2022</v>
      </c>
      <c r="J125" s="30" t="s">
        <v>1943</v>
      </c>
      <c r="K125" s="30" t="s">
        <v>1012</v>
      </c>
      <c r="L125" s="32">
        <v>1</v>
      </c>
      <c r="M125" s="29" t="s">
        <v>1013</v>
      </c>
      <c r="N125" s="29" t="s">
        <v>1014</v>
      </c>
      <c r="O125" s="32" t="s">
        <v>1944</v>
      </c>
      <c r="P125" s="32" t="s">
        <v>1018</v>
      </c>
      <c r="Q125" s="32" t="s">
        <v>1018</v>
      </c>
      <c r="R125" s="32" t="s">
        <v>1039</v>
      </c>
      <c r="S125" s="38">
        <v>793.58</v>
      </c>
      <c r="T125" s="32">
        <v>19.1</v>
      </c>
      <c r="U125" s="32" t="s">
        <v>1811</v>
      </c>
      <c r="V125" s="33">
        <v>0.06</v>
      </c>
      <c r="W125" s="39"/>
      <c r="X125" s="39" t="s">
        <v>1945</v>
      </c>
      <c r="Y125" s="32" t="s">
        <v>1018</v>
      </c>
      <c r="Z125" s="32" t="s">
        <v>1946</v>
      </c>
      <c r="AA125" s="32" t="s">
        <v>1947</v>
      </c>
      <c r="AB125" s="32" t="s">
        <v>1948</v>
      </c>
      <c r="AC125" s="32" t="s">
        <v>37</v>
      </c>
      <c r="AD125" s="32" t="s">
        <v>1018</v>
      </c>
      <c r="AE125" s="32"/>
      <c r="AF125" s="32"/>
      <c r="AG125" s="32" t="s">
        <v>1949</v>
      </c>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c r="HX125" s="10"/>
      <c r="HY125" s="10"/>
      <c r="HZ125" s="10"/>
      <c r="IA125" s="10"/>
      <c r="IB125" s="10"/>
      <c r="IC125" s="10"/>
      <c r="ID125" s="10"/>
      <c r="IE125" s="10"/>
      <c r="IF125" s="10"/>
      <c r="IG125" s="10"/>
      <c r="IH125" s="10"/>
      <c r="IJ125" s="16"/>
      <c r="IK125" s="16"/>
      <c r="IL125" s="16"/>
      <c r="IM125" s="16"/>
      <c r="IN125" s="16"/>
      <c r="IO125" s="16"/>
      <c r="IP125" s="16"/>
      <c r="IQ125" s="16"/>
      <c r="IR125" s="16"/>
      <c r="IS125" s="16"/>
      <c r="IT125" s="16"/>
      <c r="IU125" s="16"/>
      <c r="IV125" s="16"/>
      <c r="IW125" s="16"/>
      <c r="IX125" s="16"/>
      <c r="IY125" s="16"/>
      <c r="IZ125" s="16"/>
      <c r="JA125" s="16"/>
      <c r="JB125" s="16"/>
      <c r="JC125" s="16"/>
      <c r="JD125" s="16"/>
      <c r="JE125" s="16"/>
      <c r="JF125" s="16"/>
      <c r="JG125" s="16"/>
      <c r="JH125" s="16"/>
      <c r="JI125" s="16"/>
      <c r="JJ125" s="16"/>
      <c r="JK125" s="16"/>
      <c r="JL125" s="16"/>
      <c r="JM125" s="16"/>
      <c r="JN125" s="16"/>
      <c r="JO125" s="16"/>
      <c r="JP125" s="16"/>
      <c r="JQ125" s="16"/>
      <c r="JR125" s="16"/>
      <c r="JS125" s="16"/>
      <c r="JT125" s="16"/>
      <c r="JU125" s="16"/>
      <c r="JV125" s="16"/>
      <c r="JW125" s="16"/>
      <c r="JX125" s="16"/>
      <c r="JY125" s="16"/>
      <c r="JZ125" s="16"/>
      <c r="KA125" s="16"/>
      <c r="KB125" s="16"/>
      <c r="KC125" s="16"/>
      <c r="KD125" s="16"/>
      <c r="KE125" s="16"/>
      <c r="KF125" s="16"/>
      <c r="KG125" s="16"/>
      <c r="KH125" s="16"/>
      <c r="KI125" s="16"/>
      <c r="KJ125" s="16"/>
      <c r="KK125" s="16"/>
      <c r="KL125" s="16"/>
      <c r="KM125" s="16"/>
      <c r="KN125" s="16"/>
      <c r="KO125" s="16"/>
      <c r="KP125" s="16"/>
      <c r="KQ125" s="16"/>
      <c r="KR125" s="16"/>
      <c r="KS125" s="16"/>
      <c r="KT125" s="16"/>
      <c r="KU125" s="16"/>
      <c r="KV125" s="16"/>
    </row>
    <row r="126" s="12" customFormat="1" customHeight="1" spans="1:310">
      <c r="A126" s="28">
        <v>45931</v>
      </c>
      <c r="B126" s="32" t="s">
        <v>1022</v>
      </c>
      <c r="C126" s="52" t="s">
        <v>1007</v>
      </c>
      <c r="D126" s="52" t="s">
        <v>1215</v>
      </c>
      <c r="E126" s="52" t="s">
        <v>100</v>
      </c>
      <c r="F126" s="49" t="s">
        <v>100</v>
      </c>
      <c r="G126" s="49" t="s">
        <v>1950</v>
      </c>
      <c r="H126" s="51">
        <v>10</v>
      </c>
      <c r="I126" s="52">
        <v>2022</v>
      </c>
      <c r="J126" s="49" t="s">
        <v>1920</v>
      </c>
      <c r="K126" s="49" t="s">
        <v>1243</v>
      </c>
      <c r="L126" s="52">
        <v>1</v>
      </c>
      <c r="M126" s="29" t="s">
        <v>1013</v>
      </c>
      <c r="N126" s="29" t="s">
        <v>1014</v>
      </c>
      <c r="O126" s="52" t="s">
        <v>1951</v>
      </c>
      <c r="P126" s="52" t="s">
        <v>1018</v>
      </c>
      <c r="Q126" s="49" t="s">
        <v>1018</v>
      </c>
      <c r="R126" s="52" t="s">
        <v>1952</v>
      </c>
      <c r="S126" s="52">
        <v>3130</v>
      </c>
      <c r="T126" s="52">
        <v>513.26</v>
      </c>
      <c r="U126" s="52">
        <v>2024.03</v>
      </c>
      <c r="V126" s="54">
        <v>0.164</v>
      </c>
      <c r="W126" s="97">
        <v>0.9893</v>
      </c>
      <c r="X126" s="52" t="s">
        <v>1953</v>
      </c>
      <c r="Y126" s="52" t="s">
        <v>1018</v>
      </c>
      <c r="Z126" s="52" t="s">
        <v>1511</v>
      </c>
      <c r="AA126" s="52" t="s">
        <v>378</v>
      </c>
      <c r="AB126" s="52" t="s">
        <v>1954</v>
      </c>
      <c r="AC126" s="52" t="s">
        <v>37</v>
      </c>
      <c r="AD126" s="52" t="s">
        <v>1018</v>
      </c>
      <c r="AE126" s="49" t="s">
        <v>134</v>
      </c>
      <c r="AF126" s="49" t="s">
        <v>1018</v>
      </c>
      <c r="AG126" s="29"/>
      <c r="AH126" s="98" t="s">
        <v>1068</v>
      </c>
      <c r="AI126" s="98" t="s">
        <v>1068</v>
      </c>
      <c r="AJ126" s="98" t="s">
        <v>1068</v>
      </c>
      <c r="AK126" s="98" t="s">
        <v>1068</v>
      </c>
      <c r="AL126" s="98" t="s">
        <v>1068</v>
      </c>
      <c r="AM126" s="98" t="s">
        <v>1068</v>
      </c>
      <c r="AN126" s="98" t="s">
        <v>1068</v>
      </c>
      <c r="AO126" s="98" t="s">
        <v>1068</v>
      </c>
      <c r="AP126" s="98" t="s">
        <v>1068</v>
      </c>
      <c r="AQ126" s="98" t="s">
        <v>1068</v>
      </c>
      <c r="AR126" s="98" t="s">
        <v>1068</v>
      </c>
      <c r="AS126" s="98" t="s">
        <v>1068</v>
      </c>
      <c r="AT126" s="98" t="s">
        <v>1068</v>
      </c>
      <c r="AU126" s="98" t="s">
        <v>1068</v>
      </c>
      <c r="AV126" s="98" t="s">
        <v>1068</v>
      </c>
      <c r="AW126" s="98" t="s">
        <v>1068</v>
      </c>
      <c r="AX126" s="98" t="s">
        <v>1068</v>
      </c>
      <c r="AY126" s="98" t="s">
        <v>1068</v>
      </c>
      <c r="AZ126" s="98" t="s">
        <v>1068</v>
      </c>
      <c r="BA126" s="98" t="s">
        <v>1068</v>
      </c>
      <c r="BB126" s="98" t="s">
        <v>1068</v>
      </c>
      <c r="BC126" s="98" t="s">
        <v>1068</v>
      </c>
      <c r="BD126" s="98" t="s">
        <v>1068</v>
      </c>
      <c r="BE126" s="98" t="s">
        <v>1068</v>
      </c>
      <c r="BF126" s="98" t="s">
        <v>1068</v>
      </c>
      <c r="BG126" s="98" t="s">
        <v>1068</v>
      </c>
      <c r="BH126" s="98" t="s">
        <v>1068</v>
      </c>
      <c r="BI126" s="98" t="s">
        <v>1068</v>
      </c>
      <c r="BJ126" s="98" t="s">
        <v>1068</v>
      </c>
      <c r="BK126" s="98" t="s">
        <v>1068</v>
      </c>
      <c r="BL126" s="98" t="s">
        <v>1068</v>
      </c>
      <c r="BM126" s="98" t="s">
        <v>1068</v>
      </c>
      <c r="BN126" s="98" t="s">
        <v>1068</v>
      </c>
      <c r="BO126" s="98" t="s">
        <v>1068</v>
      </c>
      <c r="BP126" s="98" t="s">
        <v>1068</v>
      </c>
      <c r="BQ126" s="98" t="s">
        <v>1068</v>
      </c>
      <c r="BR126" s="98" t="s">
        <v>1068</v>
      </c>
      <c r="BS126" s="98" t="s">
        <v>1068</v>
      </c>
      <c r="BT126" s="98" t="s">
        <v>1068</v>
      </c>
      <c r="BU126" s="98" t="s">
        <v>1068</v>
      </c>
      <c r="BV126" s="98" t="s">
        <v>1068</v>
      </c>
      <c r="BW126" s="98" t="s">
        <v>1068</v>
      </c>
      <c r="BX126" s="98" t="s">
        <v>1068</v>
      </c>
      <c r="BY126" s="98" t="s">
        <v>1068</v>
      </c>
      <c r="BZ126" s="98" t="s">
        <v>1068</v>
      </c>
      <c r="CA126" s="98" t="s">
        <v>1068</v>
      </c>
      <c r="CB126" s="98" t="s">
        <v>1068</v>
      </c>
      <c r="CC126" s="98" t="s">
        <v>1068</v>
      </c>
      <c r="CD126" s="98" t="s">
        <v>1068</v>
      </c>
      <c r="CE126" s="98" t="s">
        <v>1068</v>
      </c>
      <c r="CF126" s="98" t="s">
        <v>1068</v>
      </c>
      <c r="CG126" s="98" t="s">
        <v>1068</v>
      </c>
      <c r="CH126" s="98" t="s">
        <v>1068</v>
      </c>
      <c r="CI126" s="98" t="s">
        <v>1068</v>
      </c>
      <c r="CJ126" s="98" t="s">
        <v>1068</v>
      </c>
      <c r="CK126" s="98" t="s">
        <v>1068</v>
      </c>
      <c r="CL126" s="98" t="s">
        <v>1068</v>
      </c>
      <c r="CM126" s="98" t="s">
        <v>1068</v>
      </c>
      <c r="CN126" s="98" t="s">
        <v>1068</v>
      </c>
      <c r="CO126" s="98" t="s">
        <v>1068</v>
      </c>
      <c r="CP126" s="98" t="s">
        <v>1068</v>
      </c>
      <c r="CQ126" s="98" t="s">
        <v>1068</v>
      </c>
      <c r="CR126" s="98" t="s">
        <v>1068</v>
      </c>
      <c r="CS126" s="98" t="s">
        <v>1068</v>
      </c>
      <c r="CT126" s="98" t="s">
        <v>1068</v>
      </c>
      <c r="CU126" s="98" t="s">
        <v>1068</v>
      </c>
      <c r="CV126" s="98" t="s">
        <v>1068</v>
      </c>
      <c r="CW126" s="98" t="s">
        <v>1068</v>
      </c>
      <c r="CX126" s="98" t="s">
        <v>1068</v>
      </c>
      <c r="CY126" s="98" t="s">
        <v>1068</v>
      </c>
      <c r="CZ126" s="98" t="s">
        <v>1068</v>
      </c>
      <c r="DA126" s="98" t="s">
        <v>1068</v>
      </c>
      <c r="DB126" s="98" t="s">
        <v>1068</v>
      </c>
      <c r="DC126" s="98" t="s">
        <v>1068</v>
      </c>
      <c r="DD126" s="98" t="s">
        <v>1068</v>
      </c>
      <c r="DE126" s="98" t="s">
        <v>1068</v>
      </c>
      <c r="DF126" s="98" t="s">
        <v>1068</v>
      </c>
      <c r="DG126" s="98" t="s">
        <v>1068</v>
      </c>
      <c r="DH126" s="98" t="s">
        <v>1068</v>
      </c>
      <c r="DI126" s="98" t="s">
        <v>1068</v>
      </c>
      <c r="DJ126" s="98" t="s">
        <v>1068</v>
      </c>
      <c r="DK126" s="98" t="s">
        <v>1068</v>
      </c>
      <c r="DL126" s="98" t="s">
        <v>1068</v>
      </c>
      <c r="DM126" s="98" t="s">
        <v>1068</v>
      </c>
      <c r="DN126" s="98" t="s">
        <v>1068</v>
      </c>
      <c r="DO126" s="98" t="s">
        <v>1068</v>
      </c>
      <c r="DP126" s="98" t="s">
        <v>1068</v>
      </c>
      <c r="DQ126" s="98" t="s">
        <v>1068</v>
      </c>
      <c r="DR126" s="98" t="s">
        <v>1068</v>
      </c>
      <c r="DS126" s="98" t="s">
        <v>1068</v>
      </c>
      <c r="DT126" s="98" t="s">
        <v>1068</v>
      </c>
      <c r="DU126" s="98" t="s">
        <v>1068</v>
      </c>
      <c r="DV126" s="98" t="s">
        <v>1068</v>
      </c>
      <c r="DW126" s="98" t="s">
        <v>1068</v>
      </c>
      <c r="DX126" s="98" t="s">
        <v>1068</v>
      </c>
      <c r="DY126" s="98" t="s">
        <v>1068</v>
      </c>
      <c r="DZ126" s="98" t="s">
        <v>1068</v>
      </c>
      <c r="EA126" s="98" t="s">
        <v>1068</v>
      </c>
      <c r="EB126" s="98" t="s">
        <v>1068</v>
      </c>
      <c r="EC126" s="98" t="s">
        <v>1068</v>
      </c>
      <c r="ED126" s="98" t="s">
        <v>1068</v>
      </c>
      <c r="EE126" s="98" t="s">
        <v>1068</v>
      </c>
      <c r="EF126" s="98" t="s">
        <v>1068</v>
      </c>
      <c r="EG126" s="98" t="s">
        <v>1068</v>
      </c>
      <c r="EH126" s="98" t="s">
        <v>1068</v>
      </c>
      <c r="EI126" s="98" t="s">
        <v>1068</v>
      </c>
      <c r="EJ126" s="98" t="s">
        <v>1068</v>
      </c>
      <c r="EK126" s="98" t="s">
        <v>1068</v>
      </c>
      <c r="EL126" s="98" t="s">
        <v>1068</v>
      </c>
      <c r="EM126" s="98" t="s">
        <v>1068</v>
      </c>
      <c r="EN126" s="98" t="s">
        <v>1068</v>
      </c>
      <c r="EO126" s="98" t="s">
        <v>1068</v>
      </c>
      <c r="EP126" s="98" t="s">
        <v>1068</v>
      </c>
      <c r="EQ126" s="98" t="s">
        <v>1068</v>
      </c>
      <c r="ER126" s="98" t="s">
        <v>1068</v>
      </c>
      <c r="ES126" s="98" t="s">
        <v>1068</v>
      </c>
      <c r="ET126" s="98" t="s">
        <v>1068</v>
      </c>
      <c r="EU126" s="98" t="s">
        <v>1068</v>
      </c>
      <c r="EV126" s="98" t="s">
        <v>1068</v>
      </c>
      <c r="EW126" s="98" t="s">
        <v>1068</v>
      </c>
      <c r="EX126" s="98" t="s">
        <v>1068</v>
      </c>
      <c r="EY126" s="98" t="s">
        <v>1068</v>
      </c>
      <c r="EZ126" s="98" t="s">
        <v>1068</v>
      </c>
      <c r="FA126" s="98" t="s">
        <v>1068</v>
      </c>
      <c r="FB126" s="98" t="s">
        <v>1068</v>
      </c>
      <c r="FC126" s="98" t="s">
        <v>1068</v>
      </c>
      <c r="FD126" s="98" t="s">
        <v>1068</v>
      </c>
      <c r="FE126" s="98" t="s">
        <v>1068</v>
      </c>
      <c r="FF126" s="98" t="s">
        <v>1068</v>
      </c>
      <c r="FG126" s="98" t="s">
        <v>1068</v>
      </c>
      <c r="FH126" s="98" t="s">
        <v>1068</v>
      </c>
      <c r="FI126" s="98" t="s">
        <v>1068</v>
      </c>
      <c r="FJ126" s="98" t="s">
        <v>1068</v>
      </c>
      <c r="FK126" s="98" t="s">
        <v>1068</v>
      </c>
      <c r="FL126" s="98" t="s">
        <v>1068</v>
      </c>
      <c r="FM126" s="98" t="s">
        <v>1068</v>
      </c>
      <c r="FN126" s="98" t="s">
        <v>1068</v>
      </c>
      <c r="FO126" s="98" t="s">
        <v>1068</v>
      </c>
      <c r="FP126" s="98" t="s">
        <v>1068</v>
      </c>
      <c r="FQ126" s="98" t="s">
        <v>1068</v>
      </c>
      <c r="FR126" s="98" t="s">
        <v>1068</v>
      </c>
      <c r="FS126" s="98" t="s">
        <v>1068</v>
      </c>
      <c r="FT126" s="98" t="s">
        <v>1068</v>
      </c>
      <c r="FU126" s="98" t="s">
        <v>1068</v>
      </c>
      <c r="FV126" s="98" t="s">
        <v>1068</v>
      </c>
      <c r="FW126" s="98" t="s">
        <v>1068</v>
      </c>
      <c r="FX126" s="98" t="s">
        <v>1068</v>
      </c>
      <c r="FY126" s="98" t="s">
        <v>1068</v>
      </c>
      <c r="FZ126" s="98" t="s">
        <v>1068</v>
      </c>
      <c r="GA126" s="98" t="s">
        <v>1068</v>
      </c>
      <c r="GB126" s="98" t="s">
        <v>1068</v>
      </c>
      <c r="GC126" s="98" t="s">
        <v>1068</v>
      </c>
      <c r="GD126" s="98" t="s">
        <v>1068</v>
      </c>
      <c r="GE126" s="98" t="s">
        <v>1068</v>
      </c>
      <c r="GF126" s="98" t="s">
        <v>1068</v>
      </c>
      <c r="GG126" s="98" t="s">
        <v>1068</v>
      </c>
      <c r="GH126" s="98" t="s">
        <v>1068</v>
      </c>
      <c r="GI126" s="98" t="s">
        <v>1068</v>
      </c>
      <c r="GJ126" s="98" t="s">
        <v>1068</v>
      </c>
      <c r="GK126" s="98" t="s">
        <v>1068</v>
      </c>
      <c r="GL126" s="98" t="s">
        <v>1068</v>
      </c>
      <c r="GM126" s="98" t="s">
        <v>1068</v>
      </c>
      <c r="GN126" s="98" t="s">
        <v>1068</v>
      </c>
      <c r="GO126" s="98" t="s">
        <v>1068</v>
      </c>
      <c r="GP126" s="98" t="s">
        <v>1068</v>
      </c>
      <c r="GQ126" s="98" t="s">
        <v>1068</v>
      </c>
      <c r="GR126" s="98" t="s">
        <v>1068</v>
      </c>
      <c r="GS126" s="98" t="s">
        <v>1068</v>
      </c>
      <c r="GT126" s="98" t="s">
        <v>1068</v>
      </c>
      <c r="GU126" s="98" t="s">
        <v>1068</v>
      </c>
      <c r="GV126" s="98" t="s">
        <v>1068</v>
      </c>
      <c r="GW126" s="98" t="s">
        <v>1068</v>
      </c>
      <c r="GX126" s="98" t="s">
        <v>1068</v>
      </c>
      <c r="GY126" s="98" t="s">
        <v>1068</v>
      </c>
      <c r="GZ126" s="98" t="s">
        <v>1068</v>
      </c>
      <c r="HA126" s="98" t="s">
        <v>1068</v>
      </c>
      <c r="HB126" s="98" t="s">
        <v>1068</v>
      </c>
      <c r="HC126" s="98" t="s">
        <v>1068</v>
      </c>
      <c r="HD126" s="98" t="s">
        <v>1068</v>
      </c>
      <c r="HE126" s="98" t="s">
        <v>1068</v>
      </c>
      <c r="HF126" s="98" t="s">
        <v>1068</v>
      </c>
      <c r="HG126" s="98" t="s">
        <v>1068</v>
      </c>
      <c r="HH126" s="98" t="s">
        <v>1068</v>
      </c>
      <c r="HI126" s="98" t="s">
        <v>1068</v>
      </c>
      <c r="HJ126" s="98" t="s">
        <v>1068</v>
      </c>
      <c r="HK126" s="98" t="s">
        <v>1068</v>
      </c>
      <c r="HL126" s="98" t="s">
        <v>1068</v>
      </c>
      <c r="HM126" s="98" t="s">
        <v>1068</v>
      </c>
      <c r="HN126" s="98" t="s">
        <v>1068</v>
      </c>
      <c r="HO126" s="98" t="s">
        <v>1068</v>
      </c>
      <c r="HP126" s="98" t="s">
        <v>1068</v>
      </c>
      <c r="HQ126" s="98" t="s">
        <v>1068</v>
      </c>
      <c r="HR126" s="98" t="s">
        <v>1068</v>
      </c>
      <c r="HS126" s="98" t="s">
        <v>1068</v>
      </c>
      <c r="HT126" s="98" t="s">
        <v>1068</v>
      </c>
      <c r="HU126" s="98" t="s">
        <v>1068</v>
      </c>
      <c r="HV126" s="98" t="s">
        <v>1068</v>
      </c>
      <c r="HW126" s="98" t="s">
        <v>1068</v>
      </c>
      <c r="HX126" s="98" t="s">
        <v>1068</v>
      </c>
      <c r="HY126" s="98" t="s">
        <v>1068</v>
      </c>
      <c r="HZ126" s="98" t="s">
        <v>1068</v>
      </c>
      <c r="IA126" s="98" t="s">
        <v>1068</v>
      </c>
      <c r="IB126" s="98" t="s">
        <v>1068</v>
      </c>
      <c r="IC126" s="98" t="s">
        <v>1068</v>
      </c>
      <c r="ID126" s="98" t="s">
        <v>1068</v>
      </c>
      <c r="IE126" s="98" t="s">
        <v>1068</v>
      </c>
      <c r="IF126" s="98" t="s">
        <v>1068</v>
      </c>
      <c r="IG126" s="98" t="s">
        <v>1068</v>
      </c>
      <c r="IH126" s="98" t="s">
        <v>1068</v>
      </c>
      <c r="II126" s="9" t="s">
        <v>1068</v>
      </c>
      <c r="IJ126" s="9"/>
      <c r="IK126" s="9"/>
      <c r="IL126" s="9"/>
      <c r="IM126" s="9"/>
      <c r="IN126" s="9"/>
      <c r="IO126" s="9"/>
      <c r="IP126" s="9"/>
      <c r="IQ126" s="9"/>
      <c r="IR126" s="9"/>
      <c r="IS126" s="9"/>
      <c r="IT126" s="9"/>
      <c r="IU126" s="9"/>
      <c r="IV126" s="9"/>
      <c r="IW126" s="9"/>
      <c r="IX126" s="9"/>
      <c r="IY126" s="9"/>
      <c r="IZ126" s="9"/>
      <c r="JA126" s="9"/>
      <c r="JB126" s="9"/>
      <c r="JC126" s="9"/>
      <c r="JD126" s="9"/>
      <c r="JE126" s="9"/>
      <c r="JF126" s="9"/>
      <c r="JG126" s="9"/>
      <c r="JH126" s="9"/>
      <c r="JI126" s="9"/>
      <c r="JJ126" s="9"/>
      <c r="JK126" s="9"/>
      <c r="JL126" s="9"/>
      <c r="JM126" s="9"/>
      <c r="JN126" s="9"/>
      <c r="JO126" s="9"/>
      <c r="JP126" s="9"/>
      <c r="JQ126" s="9"/>
      <c r="JR126" s="9"/>
      <c r="JS126" s="9"/>
      <c r="JT126" s="9"/>
      <c r="JU126" s="9"/>
      <c r="JV126" s="9"/>
      <c r="JW126" s="9"/>
      <c r="JX126" s="9"/>
      <c r="JY126" s="9"/>
      <c r="JZ126" s="9"/>
      <c r="KA126" s="9"/>
      <c r="KB126" s="9"/>
      <c r="KC126" s="9"/>
      <c r="KD126" s="9"/>
      <c r="KE126" s="9"/>
      <c r="KF126" s="9"/>
      <c r="KG126" s="9"/>
      <c r="KH126" s="9"/>
      <c r="KI126" s="9"/>
      <c r="KJ126" s="9"/>
      <c r="KK126" s="9"/>
      <c r="KL126" s="9"/>
      <c r="KM126" s="9"/>
      <c r="KN126" s="9"/>
      <c r="KO126" s="9"/>
      <c r="KP126" s="9"/>
      <c r="KQ126" s="9"/>
      <c r="KR126" s="9"/>
      <c r="KS126" s="9"/>
      <c r="KT126" s="9"/>
      <c r="KU126" s="9"/>
      <c r="KV126" s="9"/>
      <c r="KW126" s="22"/>
      <c r="KX126" s="22"/>
    </row>
    <row r="127" s="10" customFormat="1" customHeight="1" spans="1:310">
      <c r="A127" s="28">
        <v>45931</v>
      </c>
      <c r="B127" s="29" t="s">
        <v>1022</v>
      </c>
      <c r="C127" s="51" t="s">
        <v>1057</v>
      </c>
      <c r="D127" s="51" t="s">
        <v>134</v>
      </c>
      <c r="E127" s="51" t="s">
        <v>869</v>
      </c>
      <c r="F127" s="31" t="s">
        <v>1955</v>
      </c>
      <c r="G127" s="95" t="s">
        <v>1956</v>
      </c>
      <c r="H127" s="51">
        <v>10</v>
      </c>
      <c r="I127" s="51">
        <v>2023</v>
      </c>
      <c r="J127" s="51" t="s">
        <v>1957</v>
      </c>
      <c r="K127" s="30" t="s">
        <v>1012</v>
      </c>
      <c r="L127" s="52">
        <v>1</v>
      </c>
      <c r="M127" s="29" t="s">
        <v>1013</v>
      </c>
      <c r="N127" s="29" t="s">
        <v>1014</v>
      </c>
      <c r="O127" s="51">
        <v>99</v>
      </c>
      <c r="P127" s="51" t="s">
        <v>1018</v>
      </c>
      <c r="Q127" s="51" t="s">
        <v>1068</v>
      </c>
      <c r="R127" s="51" t="s">
        <v>1017</v>
      </c>
      <c r="S127" s="30">
        <v>523.12</v>
      </c>
      <c r="T127" s="51">
        <v>27.2</v>
      </c>
      <c r="U127" s="51">
        <v>2025.5</v>
      </c>
      <c r="V127" s="64">
        <f>T127/S127</f>
        <v>0.0519957179996941</v>
      </c>
      <c r="W127" s="71">
        <v>0.3963</v>
      </c>
      <c r="X127" s="51" t="s">
        <v>1958</v>
      </c>
      <c r="Y127" s="51" t="s">
        <v>1018</v>
      </c>
      <c r="Z127" s="51" t="s">
        <v>1959</v>
      </c>
      <c r="AA127" s="51" t="s">
        <v>36</v>
      </c>
      <c r="AB127" s="96" t="s">
        <v>1960</v>
      </c>
      <c r="AC127" s="51" t="s">
        <v>37</v>
      </c>
      <c r="AD127" s="51" t="s">
        <v>1018</v>
      </c>
      <c r="AE127" s="51"/>
      <c r="AF127" s="51"/>
      <c r="AG127" s="79" t="s">
        <v>1961</v>
      </c>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9"/>
      <c r="EQ127" s="9"/>
      <c r="ER127" s="9"/>
      <c r="ES127" s="9"/>
      <c r="ET127" s="9"/>
      <c r="EU127" s="9"/>
      <c r="EV127" s="9"/>
      <c r="EW127" s="9"/>
      <c r="EX127" s="9"/>
      <c r="EY127" s="9"/>
      <c r="EZ127" s="9"/>
      <c r="FA127" s="9"/>
      <c r="FB127" s="9"/>
      <c r="FC127" s="9"/>
      <c r="FD127" s="9"/>
      <c r="FE127" s="9"/>
      <c r="FF127" s="9"/>
      <c r="FG127" s="9"/>
      <c r="FH127" s="9"/>
      <c r="FI127" s="9"/>
      <c r="FJ127" s="9"/>
      <c r="FK127" s="9"/>
      <c r="FL127" s="9"/>
      <c r="FM127" s="9"/>
      <c r="FN127" s="9"/>
      <c r="FO127" s="9"/>
      <c r="FP127" s="9"/>
      <c r="FQ127" s="9"/>
      <c r="FR127" s="9"/>
      <c r="FS127" s="9"/>
      <c r="FT127" s="9"/>
      <c r="FU127" s="9"/>
      <c r="FV127" s="9"/>
      <c r="FW127" s="9"/>
      <c r="FX127" s="9"/>
      <c r="FY127" s="9"/>
      <c r="FZ127" s="9"/>
      <c r="GA127" s="9"/>
      <c r="GB127" s="9"/>
      <c r="GC127" s="9"/>
      <c r="GD127" s="9"/>
      <c r="GE127" s="9"/>
      <c r="GF127" s="9"/>
      <c r="GG127" s="9"/>
      <c r="GH127" s="9"/>
      <c r="GI127" s="9"/>
      <c r="GJ127" s="9"/>
      <c r="GK127" s="9"/>
      <c r="GL127" s="9"/>
      <c r="GM127" s="9"/>
      <c r="GN127" s="9"/>
      <c r="GO127" s="9"/>
      <c r="GP127" s="9"/>
      <c r="GQ127" s="9"/>
      <c r="GR127" s="9"/>
      <c r="GS127" s="9"/>
      <c r="GT127" s="9"/>
      <c r="GU127" s="9"/>
      <c r="GV127" s="9"/>
      <c r="GW127" s="9"/>
      <c r="GX127" s="9"/>
      <c r="GY127" s="9"/>
      <c r="GZ127" s="9"/>
      <c r="HA127" s="9"/>
      <c r="HB127" s="9"/>
      <c r="HC127" s="9"/>
      <c r="HD127" s="9"/>
      <c r="HE127" s="9"/>
      <c r="HF127" s="9"/>
      <c r="HG127" s="9"/>
      <c r="HH127" s="9"/>
      <c r="HI127" s="9"/>
      <c r="HJ127" s="9"/>
      <c r="HK127" s="9"/>
      <c r="HL127" s="9"/>
      <c r="HM127" s="9"/>
      <c r="HN127" s="9"/>
      <c r="HO127" s="9"/>
      <c r="HP127" s="9"/>
      <c r="HQ127" s="9"/>
      <c r="HR127" s="9"/>
      <c r="HS127" s="9"/>
      <c r="HT127" s="9"/>
      <c r="HU127" s="9"/>
      <c r="HV127" s="9"/>
      <c r="HW127" s="9"/>
      <c r="HX127" s="9"/>
      <c r="HY127" s="9"/>
      <c r="HZ127" s="9"/>
      <c r="IA127" s="9"/>
      <c r="IB127" s="9"/>
      <c r="IC127" s="9"/>
      <c r="ID127" s="9"/>
      <c r="IE127" s="9"/>
      <c r="IF127" s="9"/>
      <c r="IG127" s="9"/>
      <c r="IH127" s="9"/>
      <c r="II127" s="12"/>
      <c r="IJ127" s="9"/>
      <c r="IK127" s="9"/>
      <c r="IL127" s="9"/>
      <c r="IM127" s="9"/>
      <c r="IN127" s="9"/>
      <c r="IO127" s="9"/>
      <c r="IP127" s="9"/>
      <c r="IQ127" s="9"/>
      <c r="IR127" s="9"/>
      <c r="IS127" s="9"/>
      <c r="IT127" s="9"/>
      <c r="IU127" s="9"/>
      <c r="IV127" s="9"/>
      <c r="IW127" s="9"/>
      <c r="IX127" s="9"/>
      <c r="IY127" s="9"/>
      <c r="IZ127" s="9"/>
      <c r="JA127" s="9"/>
      <c r="JB127" s="9"/>
      <c r="JC127" s="9"/>
      <c r="JD127" s="9"/>
      <c r="JE127" s="9"/>
      <c r="JF127" s="9"/>
      <c r="JG127" s="9"/>
      <c r="JH127" s="9"/>
      <c r="JI127" s="9"/>
      <c r="JJ127" s="9"/>
      <c r="JK127" s="9"/>
      <c r="JL127" s="9"/>
      <c r="JM127" s="9"/>
      <c r="JN127" s="9"/>
      <c r="JO127" s="9"/>
      <c r="JP127" s="9"/>
      <c r="JQ127" s="9"/>
      <c r="JR127" s="9"/>
      <c r="JS127" s="9"/>
      <c r="JT127" s="9"/>
      <c r="JU127" s="9"/>
      <c r="JV127" s="9"/>
      <c r="JW127" s="9"/>
      <c r="JX127" s="9"/>
      <c r="JY127" s="9"/>
      <c r="JZ127" s="9"/>
      <c r="KA127" s="9"/>
      <c r="KB127" s="9"/>
      <c r="KC127" s="9"/>
      <c r="KD127" s="9"/>
      <c r="KE127" s="9"/>
      <c r="KF127" s="9"/>
      <c r="KG127" s="9"/>
      <c r="KH127" s="9"/>
      <c r="KI127" s="9"/>
      <c r="KJ127" s="9"/>
      <c r="KK127" s="9"/>
      <c r="KL127" s="9"/>
      <c r="KM127" s="9"/>
      <c r="KN127" s="9"/>
      <c r="KO127" s="9"/>
      <c r="KP127" s="9"/>
      <c r="KQ127" s="9"/>
      <c r="KR127" s="9"/>
      <c r="KS127" s="9"/>
      <c r="KT127" s="9"/>
      <c r="KU127" s="9"/>
      <c r="KV127" s="9"/>
      <c r="KW127" s="9"/>
      <c r="KX127" s="9"/>
    </row>
    <row r="128" s="9" customFormat="1" customHeight="1" spans="1:310">
      <c r="A128" s="28">
        <v>45931</v>
      </c>
      <c r="B128" s="29" t="s">
        <v>1022</v>
      </c>
      <c r="C128" s="32" t="s">
        <v>1057</v>
      </c>
      <c r="D128" s="32" t="s">
        <v>1058</v>
      </c>
      <c r="E128" s="32" t="s">
        <v>869</v>
      </c>
      <c r="F128" s="42" t="s">
        <v>1962</v>
      </c>
      <c r="G128" s="31" t="s">
        <v>1963</v>
      </c>
      <c r="H128" s="32">
        <v>10</v>
      </c>
      <c r="I128" s="30">
        <v>2025</v>
      </c>
      <c r="J128" s="30" t="s">
        <v>1913</v>
      </c>
      <c r="K128" s="30" t="s">
        <v>1012</v>
      </c>
      <c r="L128" s="32">
        <v>1</v>
      </c>
      <c r="M128" s="29" t="s">
        <v>1013</v>
      </c>
      <c r="N128" s="29" t="s">
        <v>1014</v>
      </c>
      <c r="O128" s="32">
        <v>100</v>
      </c>
      <c r="P128" s="32" t="s">
        <v>1018</v>
      </c>
      <c r="Q128" s="32"/>
      <c r="R128" s="32" t="s">
        <v>1017</v>
      </c>
      <c r="S128" s="49">
        <v>413.79</v>
      </c>
      <c r="T128" s="32">
        <v>37.9</v>
      </c>
      <c r="U128" s="32">
        <v>2023.11</v>
      </c>
      <c r="V128" s="33">
        <f>T128/S128</f>
        <v>0.0915923536093187</v>
      </c>
      <c r="W128" s="39">
        <v>0.9684</v>
      </c>
      <c r="X128" s="39" t="s">
        <v>1964</v>
      </c>
      <c r="Y128" s="32" t="s">
        <v>1018</v>
      </c>
      <c r="Z128" s="32" t="s">
        <v>1965</v>
      </c>
      <c r="AA128" s="32" t="s">
        <v>36</v>
      </c>
      <c r="AB128" s="40" t="s">
        <v>1966</v>
      </c>
      <c r="AC128" s="32" t="s">
        <v>37</v>
      </c>
      <c r="AD128" s="32" t="s">
        <v>1018</v>
      </c>
      <c r="AE128" s="32"/>
      <c r="AF128" s="32"/>
      <c r="AG128" s="41" t="s">
        <v>1967</v>
      </c>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c r="FP128" s="10"/>
      <c r="FQ128" s="10"/>
      <c r="FR128" s="10"/>
      <c r="FS128" s="10"/>
      <c r="FT128" s="10"/>
      <c r="FU128" s="10"/>
      <c r="FV128" s="10"/>
      <c r="FW128" s="10"/>
      <c r="FX128" s="10"/>
      <c r="FY128" s="10"/>
      <c r="FZ128" s="10"/>
      <c r="GA128" s="10"/>
      <c r="GB128" s="10"/>
      <c r="GC128" s="10"/>
      <c r="GD128" s="10"/>
      <c r="GE128" s="10"/>
      <c r="GF128" s="10"/>
      <c r="GG128" s="10"/>
      <c r="GH128" s="10"/>
      <c r="GI128" s="10"/>
      <c r="GJ128" s="10"/>
      <c r="GK128" s="10"/>
      <c r="GL128" s="10"/>
      <c r="GM128" s="10"/>
      <c r="GN128" s="10"/>
      <c r="GO128" s="10"/>
      <c r="GP128" s="10"/>
      <c r="GQ128" s="10"/>
      <c r="GR128" s="10"/>
      <c r="GS128" s="10"/>
      <c r="GT128" s="10"/>
      <c r="GU128" s="10"/>
      <c r="GV128" s="10"/>
      <c r="GW128" s="10"/>
      <c r="GX128" s="10"/>
      <c r="GY128" s="10"/>
      <c r="GZ128" s="10"/>
      <c r="HA128" s="10"/>
      <c r="HB128" s="10"/>
      <c r="HC128" s="10"/>
      <c r="HD128" s="10"/>
      <c r="HE128" s="10"/>
      <c r="HF128" s="10"/>
      <c r="HG128" s="10"/>
      <c r="HH128" s="10"/>
      <c r="HI128" s="10"/>
      <c r="HJ128" s="10"/>
      <c r="HK128" s="10"/>
      <c r="HL128" s="10"/>
      <c r="HM128" s="10"/>
      <c r="HN128" s="10"/>
      <c r="HO128" s="10"/>
      <c r="HP128" s="10"/>
      <c r="HQ128" s="10"/>
      <c r="HR128" s="10"/>
      <c r="HS128" s="10"/>
      <c r="HT128" s="10"/>
      <c r="HU128" s="10"/>
      <c r="HV128" s="10"/>
      <c r="HW128" s="10"/>
      <c r="HX128" s="10"/>
      <c r="HY128" s="10"/>
      <c r="HZ128" s="10"/>
      <c r="IA128" s="10"/>
      <c r="IB128" s="10"/>
      <c r="IC128" s="10"/>
      <c r="ID128" s="10"/>
      <c r="IE128" s="10"/>
      <c r="IF128" s="10"/>
      <c r="IG128" s="10"/>
      <c r="IH128" s="10"/>
      <c r="IJ128" s="13"/>
      <c r="IK128" s="13"/>
      <c r="IL128" s="13"/>
      <c r="IM128" s="13"/>
      <c r="IN128" s="13"/>
      <c r="IO128" s="13"/>
      <c r="IP128" s="13"/>
      <c r="IQ128" s="13"/>
      <c r="IR128" s="13"/>
      <c r="IS128" s="13"/>
      <c r="IT128" s="13"/>
      <c r="IU128" s="13"/>
      <c r="IV128" s="13"/>
      <c r="IW128" s="13"/>
      <c r="IX128" s="13"/>
      <c r="IY128" s="13"/>
      <c r="IZ128" s="13"/>
      <c r="JA128" s="13"/>
      <c r="JB128" s="13"/>
      <c r="JC128" s="13"/>
      <c r="JD128" s="13"/>
      <c r="JE128" s="13"/>
      <c r="JF128" s="13"/>
      <c r="JG128" s="13"/>
      <c r="JH128" s="13"/>
      <c r="JI128" s="13"/>
      <c r="JJ128" s="13"/>
      <c r="JK128" s="13"/>
      <c r="JL128" s="13"/>
      <c r="JM128" s="13"/>
      <c r="JN128" s="13"/>
      <c r="JO128" s="13"/>
      <c r="JP128" s="13"/>
      <c r="JQ128" s="13"/>
      <c r="JR128" s="13"/>
      <c r="JS128" s="13"/>
      <c r="JT128" s="13"/>
      <c r="JU128" s="13"/>
      <c r="JV128" s="13"/>
      <c r="JW128" s="13"/>
      <c r="JX128" s="13"/>
      <c r="JY128" s="13"/>
      <c r="JZ128" s="13"/>
      <c r="KA128" s="13"/>
      <c r="KB128" s="13"/>
      <c r="KC128" s="13"/>
      <c r="KD128" s="13"/>
      <c r="KE128" s="13"/>
      <c r="KF128" s="13"/>
      <c r="KG128" s="13"/>
      <c r="KH128" s="13"/>
      <c r="KI128" s="13"/>
      <c r="KJ128" s="13"/>
      <c r="KK128" s="13"/>
      <c r="KL128" s="13"/>
      <c r="KM128" s="13"/>
      <c r="KN128" s="13"/>
      <c r="KO128" s="13"/>
      <c r="KP128" s="13"/>
      <c r="KQ128" s="13"/>
      <c r="KR128" s="13"/>
      <c r="KS128" s="13"/>
      <c r="KT128" s="13"/>
      <c r="KU128" s="13"/>
      <c r="KV128" s="13"/>
      <c r="KW128" s="10"/>
      <c r="KX128" s="10"/>
    </row>
    <row r="129" s="11" customFormat="1" customHeight="1" spans="1:310">
      <c r="A129" s="28">
        <v>45931</v>
      </c>
      <c r="B129" s="29" t="s">
        <v>1022</v>
      </c>
      <c r="C129" s="32" t="s">
        <v>1057</v>
      </c>
      <c r="D129" s="32" t="s">
        <v>1058</v>
      </c>
      <c r="E129" s="37" t="s">
        <v>749</v>
      </c>
      <c r="F129" s="31" t="s">
        <v>749</v>
      </c>
      <c r="G129" s="31" t="s">
        <v>1968</v>
      </c>
      <c r="H129" s="37">
        <v>10</v>
      </c>
      <c r="I129" s="32">
        <v>2024</v>
      </c>
      <c r="J129" s="37" t="s">
        <v>1920</v>
      </c>
      <c r="K129" s="76" t="s">
        <v>1012</v>
      </c>
      <c r="L129" s="32">
        <v>1</v>
      </c>
      <c r="M129" s="29" t="s">
        <v>1013</v>
      </c>
      <c r="N129" s="29" t="s">
        <v>1014</v>
      </c>
      <c r="O129" s="37" t="s">
        <v>1969</v>
      </c>
      <c r="P129" s="32" t="s">
        <v>1018</v>
      </c>
      <c r="Q129" s="32" t="s">
        <v>1016</v>
      </c>
      <c r="R129" s="32" t="s">
        <v>1017</v>
      </c>
      <c r="S129" s="32">
        <v>6644.49</v>
      </c>
      <c r="T129" s="32" t="s">
        <v>1068</v>
      </c>
      <c r="U129" s="32" t="s">
        <v>1068</v>
      </c>
      <c r="V129" s="33" t="s">
        <v>1068</v>
      </c>
      <c r="W129" s="32" t="s">
        <v>1068</v>
      </c>
      <c r="X129" s="32" t="s">
        <v>1068</v>
      </c>
      <c r="Y129" s="37" t="s">
        <v>1018</v>
      </c>
      <c r="Z129" s="37" t="s">
        <v>1970</v>
      </c>
      <c r="AA129" s="37" t="s">
        <v>1971</v>
      </c>
      <c r="AB129" s="99" t="s">
        <v>1972</v>
      </c>
      <c r="AC129" s="37" t="s">
        <v>43</v>
      </c>
      <c r="AD129" s="37" t="s">
        <v>1018</v>
      </c>
      <c r="AE129" s="49" t="s">
        <v>134</v>
      </c>
      <c r="AF129" s="49" t="s">
        <v>1018</v>
      </c>
      <c r="AG129" s="37" t="s">
        <v>1973</v>
      </c>
      <c r="AH129" s="10" t="s">
        <v>1068</v>
      </c>
      <c r="AI129" s="10" t="s">
        <v>1068</v>
      </c>
      <c r="AJ129" s="10" t="s">
        <v>1068</v>
      </c>
      <c r="AK129" s="10" t="s">
        <v>1068</v>
      </c>
      <c r="AL129" s="10" t="s">
        <v>1068</v>
      </c>
      <c r="AM129" s="10" t="s">
        <v>1068</v>
      </c>
      <c r="AN129" s="10" t="s">
        <v>1068</v>
      </c>
      <c r="AO129" s="10" t="s">
        <v>1068</v>
      </c>
      <c r="AP129" s="10" t="s">
        <v>1068</v>
      </c>
      <c r="AQ129" s="10" t="s">
        <v>1068</v>
      </c>
      <c r="AR129" s="10" t="s">
        <v>1068</v>
      </c>
      <c r="AS129" s="10" t="s">
        <v>1068</v>
      </c>
      <c r="AT129" s="10" t="s">
        <v>1068</v>
      </c>
      <c r="AU129" s="10" t="s">
        <v>1068</v>
      </c>
      <c r="AV129" s="10" t="s">
        <v>1068</v>
      </c>
      <c r="AW129" s="10" t="s">
        <v>1068</v>
      </c>
      <c r="AX129" s="10" t="s">
        <v>1068</v>
      </c>
      <c r="AY129" s="10" t="s">
        <v>1068</v>
      </c>
      <c r="AZ129" s="10" t="s">
        <v>1068</v>
      </c>
      <c r="BA129" s="10" t="s">
        <v>1068</v>
      </c>
      <c r="BB129" s="10" t="s">
        <v>1068</v>
      </c>
      <c r="BC129" s="10" t="s">
        <v>1068</v>
      </c>
      <c r="BD129" s="10" t="s">
        <v>1068</v>
      </c>
      <c r="BE129" s="10" t="s">
        <v>1068</v>
      </c>
      <c r="BF129" s="10" t="s">
        <v>1068</v>
      </c>
      <c r="BG129" s="10" t="s">
        <v>1068</v>
      </c>
      <c r="BH129" s="10" t="s">
        <v>1068</v>
      </c>
      <c r="BI129" s="10" t="s">
        <v>1068</v>
      </c>
      <c r="BJ129" s="10" t="s">
        <v>1068</v>
      </c>
      <c r="BK129" s="10" t="s">
        <v>1068</v>
      </c>
      <c r="BL129" s="10" t="s">
        <v>1068</v>
      </c>
      <c r="BM129" s="10" t="s">
        <v>1068</v>
      </c>
      <c r="BN129" s="10" t="s">
        <v>1068</v>
      </c>
      <c r="BO129" s="10" t="s">
        <v>1068</v>
      </c>
      <c r="BP129" s="10" t="s">
        <v>1068</v>
      </c>
      <c r="BQ129" s="10" t="s">
        <v>1068</v>
      </c>
      <c r="BR129" s="10" t="s">
        <v>1068</v>
      </c>
      <c r="BS129" s="10" t="s">
        <v>1068</v>
      </c>
      <c r="BT129" s="10" t="s">
        <v>1068</v>
      </c>
      <c r="BU129" s="10" t="s">
        <v>1068</v>
      </c>
      <c r="BV129" s="10" t="s">
        <v>1068</v>
      </c>
      <c r="BW129" s="10" t="s">
        <v>1068</v>
      </c>
      <c r="BX129" s="10" t="s">
        <v>1068</v>
      </c>
      <c r="BY129" s="10" t="s">
        <v>1068</v>
      </c>
      <c r="BZ129" s="10" t="s">
        <v>1068</v>
      </c>
      <c r="CA129" s="10" t="s">
        <v>1068</v>
      </c>
      <c r="CB129" s="10" t="s">
        <v>1068</v>
      </c>
      <c r="CC129" s="10" t="s">
        <v>1068</v>
      </c>
      <c r="CD129" s="10" t="s">
        <v>1068</v>
      </c>
      <c r="CE129" s="10" t="s">
        <v>1068</v>
      </c>
      <c r="CF129" s="10" t="s">
        <v>1068</v>
      </c>
      <c r="CG129" s="10" t="s">
        <v>1068</v>
      </c>
      <c r="CH129" s="10" t="s">
        <v>1068</v>
      </c>
      <c r="CI129" s="10" t="s">
        <v>1068</v>
      </c>
      <c r="CJ129" s="10" t="s">
        <v>1068</v>
      </c>
      <c r="CK129" s="10" t="s">
        <v>1068</v>
      </c>
      <c r="CL129" s="10" t="s">
        <v>1068</v>
      </c>
      <c r="CM129" s="10" t="s">
        <v>1068</v>
      </c>
      <c r="CN129" s="10" t="s">
        <v>1068</v>
      </c>
      <c r="CO129" s="10" t="s">
        <v>1068</v>
      </c>
      <c r="CP129" s="10" t="s">
        <v>1068</v>
      </c>
      <c r="CQ129" s="10" t="s">
        <v>1068</v>
      </c>
      <c r="CR129" s="10" t="s">
        <v>1068</v>
      </c>
      <c r="CS129" s="10" t="s">
        <v>1068</v>
      </c>
      <c r="CT129" s="10" t="s">
        <v>1068</v>
      </c>
      <c r="CU129" s="10" t="s">
        <v>1068</v>
      </c>
      <c r="CV129" s="10" t="s">
        <v>1068</v>
      </c>
      <c r="CW129" s="10" t="s">
        <v>1068</v>
      </c>
      <c r="CX129" s="10" t="s">
        <v>1068</v>
      </c>
      <c r="CY129" s="10" t="s">
        <v>1068</v>
      </c>
      <c r="CZ129" s="10" t="s">
        <v>1068</v>
      </c>
      <c r="DA129" s="10" t="s">
        <v>1068</v>
      </c>
      <c r="DB129" s="10" t="s">
        <v>1068</v>
      </c>
      <c r="DC129" s="10" t="s">
        <v>1068</v>
      </c>
      <c r="DD129" s="10" t="s">
        <v>1068</v>
      </c>
      <c r="DE129" s="10" t="s">
        <v>1068</v>
      </c>
      <c r="DF129" s="10" t="s">
        <v>1068</v>
      </c>
      <c r="DG129" s="10" t="s">
        <v>1068</v>
      </c>
      <c r="DH129" s="10" t="s">
        <v>1068</v>
      </c>
      <c r="DI129" s="10" t="s">
        <v>1068</v>
      </c>
      <c r="DJ129" s="10" t="s">
        <v>1068</v>
      </c>
      <c r="DK129" s="10" t="s">
        <v>1068</v>
      </c>
      <c r="DL129" s="10" t="s">
        <v>1068</v>
      </c>
      <c r="DM129" s="10" t="s">
        <v>1068</v>
      </c>
      <c r="DN129" s="10" t="s">
        <v>1068</v>
      </c>
      <c r="DO129" s="10" t="s">
        <v>1068</v>
      </c>
      <c r="DP129" s="10" t="s">
        <v>1068</v>
      </c>
      <c r="DQ129" s="10" t="s">
        <v>1068</v>
      </c>
      <c r="DR129" s="10" t="s">
        <v>1068</v>
      </c>
      <c r="DS129" s="10" t="s">
        <v>1068</v>
      </c>
      <c r="DT129" s="10" t="s">
        <v>1068</v>
      </c>
      <c r="DU129" s="10" t="s">
        <v>1068</v>
      </c>
      <c r="DV129" s="10" t="s">
        <v>1068</v>
      </c>
      <c r="DW129" s="10" t="s">
        <v>1068</v>
      </c>
      <c r="DX129" s="10" t="s">
        <v>1068</v>
      </c>
      <c r="DY129" s="10" t="s">
        <v>1068</v>
      </c>
      <c r="DZ129" s="10" t="s">
        <v>1068</v>
      </c>
      <c r="EA129" s="10" t="s">
        <v>1068</v>
      </c>
      <c r="EB129" s="10" t="s">
        <v>1068</v>
      </c>
      <c r="EC129" s="10" t="s">
        <v>1068</v>
      </c>
      <c r="ED129" s="10" t="s">
        <v>1068</v>
      </c>
      <c r="EE129" s="10" t="s">
        <v>1068</v>
      </c>
      <c r="EF129" s="10" t="s">
        <v>1068</v>
      </c>
      <c r="EG129" s="10" t="s">
        <v>1068</v>
      </c>
      <c r="EH129" s="10" t="s">
        <v>1068</v>
      </c>
      <c r="EI129" s="10" t="s">
        <v>1068</v>
      </c>
      <c r="EJ129" s="10" t="s">
        <v>1068</v>
      </c>
      <c r="EK129" s="10" t="s">
        <v>1068</v>
      </c>
      <c r="EL129" s="10" t="s">
        <v>1068</v>
      </c>
      <c r="EM129" s="10" t="s">
        <v>1068</v>
      </c>
      <c r="EN129" s="10" t="s">
        <v>1068</v>
      </c>
      <c r="EO129" s="10" t="s">
        <v>1068</v>
      </c>
      <c r="EP129" s="10" t="s">
        <v>1068</v>
      </c>
      <c r="EQ129" s="10" t="s">
        <v>1068</v>
      </c>
      <c r="ER129" s="10" t="s">
        <v>1068</v>
      </c>
      <c r="ES129" s="10" t="s">
        <v>1068</v>
      </c>
      <c r="ET129" s="10" t="s">
        <v>1068</v>
      </c>
      <c r="EU129" s="10" t="s">
        <v>1068</v>
      </c>
      <c r="EV129" s="10" t="s">
        <v>1068</v>
      </c>
      <c r="EW129" s="10" t="s">
        <v>1068</v>
      </c>
      <c r="EX129" s="10" t="s">
        <v>1068</v>
      </c>
      <c r="EY129" s="10" t="s">
        <v>1068</v>
      </c>
      <c r="EZ129" s="10" t="s">
        <v>1068</v>
      </c>
      <c r="FA129" s="10" t="s">
        <v>1068</v>
      </c>
      <c r="FB129" s="10" t="s">
        <v>1068</v>
      </c>
      <c r="FC129" s="10" t="s">
        <v>1068</v>
      </c>
      <c r="FD129" s="10" t="s">
        <v>1068</v>
      </c>
      <c r="FE129" s="10" t="s">
        <v>1068</v>
      </c>
      <c r="FF129" s="10" t="s">
        <v>1068</v>
      </c>
      <c r="FG129" s="10" t="s">
        <v>1068</v>
      </c>
      <c r="FH129" s="10" t="s">
        <v>1068</v>
      </c>
      <c r="FI129" s="10" t="s">
        <v>1068</v>
      </c>
      <c r="FJ129" s="10" t="s">
        <v>1068</v>
      </c>
      <c r="FK129" s="10" t="s">
        <v>1068</v>
      </c>
      <c r="FL129" s="10" t="s">
        <v>1068</v>
      </c>
      <c r="FM129" s="10" t="s">
        <v>1068</v>
      </c>
      <c r="FN129" s="10" t="s">
        <v>1068</v>
      </c>
      <c r="FO129" s="10" t="s">
        <v>1068</v>
      </c>
      <c r="FP129" s="10" t="s">
        <v>1068</v>
      </c>
      <c r="FQ129" s="10" t="s">
        <v>1068</v>
      </c>
      <c r="FR129" s="10" t="s">
        <v>1068</v>
      </c>
      <c r="FS129" s="10" t="s">
        <v>1068</v>
      </c>
      <c r="FT129" s="10" t="s">
        <v>1068</v>
      </c>
      <c r="FU129" s="10" t="s">
        <v>1068</v>
      </c>
      <c r="FV129" s="10" t="s">
        <v>1068</v>
      </c>
      <c r="FW129" s="10" t="s">
        <v>1068</v>
      </c>
      <c r="FX129" s="10" t="s">
        <v>1068</v>
      </c>
      <c r="FY129" s="10" t="s">
        <v>1068</v>
      </c>
      <c r="FZ129" s="10" t="s">
        <v>1068</v>
      </c>
      <c r="GA129" s="10" t="s">
        <v>1068</v>
      </c>
      <c r="GB129" s="10" t="s">
        <v>1068</v>
      </c>
      <c r="GC129" s="10" t="s">
        <v>1068</v>
      </c>
      <c r="GD129" s="10" t="s">
        <v>1068</v>
      </c>
      <c r="GE129" s="10" t="s">
        <v>1068</v>
      </c>
      <c r="GF129" s="10" t="s">
        <v>1068</v>
      </c>
      <c r="GG129" s="10" t="s">
        <v>1068</v>
      </c>
      <c r="GH129" s="10" t="s">
        <v>1068</v>
      </c>
      <c r="GI129" s="10" t="s">
        <v>1068</v>
      </c>
      <c r="GJ129" s="10" t="s">
        <v>1068</v>
      </c>
      <c r="GK129" s="10" t="s">
        <v>1068</v>
      </c>
      <c r="GL129" s="10" t="s">
        <v>1068</v>
      </c>
      <c r="GM129" s="10" t="s">
        <v>1068</v>
      </c>
      <c r="GN129" s="10" t="s">
        <v>1068</v>
      </c>
      <c r="GO129" s="10" t="s">
        <v>1068</v>
      </c>
      <c r="GP129" s="10" t="s">
        <v>1068</v>
      </c>
      <c r="GQ129" s="10" t="s">
        <v>1068</v>
      </c>
      <c r="GR129" s="10" t="s">
        <v>1068</v>
      </c>
      <c r="GS129" s="10" t="s">
        <v>1068</v>
      </c>
      <c r="GT129" s="10" t="s">
        <v>1068</v>
      </c>
      <c r="GU129" s="10" t="s">
        <v>1068</v>
      </c>
      <c r="GV129" s="10" t="s">
        <v>1068</v>
      </c>
      <c r="GW129" s="10" t="s">
        <v>1068</v>
      </c>
      <c r="GX129" s="10" t="s">
        <v>1068</v>
      </c>
      <c r="GY129" s="10" t="s">
        <v>1068</v>
      </c>
      <c r="GZ129" s="10" t="s">
        <v>1068</v>
      </c>
      <c r="HA129" s="10" t="s">
        <v>1068</v>
      </c>
      <c r="HB129" s="10" t="s">
        <v>1068</v>
      </c>
      <c r="HC129" s="10" t="s">
        <v>1068</v>
      </c>
      <c r="HD129" s="10" t="s">
        <v>1068</v>
      </c>
      <c r="HE129" s="10" t="s">
        <v>1068</v>
      </c>
      <c r="HF129" s="10" t="s">
        <v>1068</v>
      </c>
      <c r="HG129" s="10" t="s">
        <v>1068</v>
      </c>
      <c r="HH129" s="10" t="s">
        <v>1068</v>
      </c>
      <c r="HI129" s="10" t="s">
        <v>1068</v>
      </c>
      <c r="HJ129" s="10" t="s">
        <v>1068</v>
      </c>
      <c r="HK129" s="10" t="s">
        <v>1068</v>
      </c>
      <c r="HL129" s="10" t="s">
        <v>1068</v>
      </c>
      <c r="HM129" s="10" t="s">
        <v>1068</v>
      </c>
      <c r="HN129" s="10" t="s">
        <v>1068</v>
      </c>
      <c r="HO129" s="10" t="s">
        <v>1068</v>
      </c>
      <c r="HP129" s="10" t="s">
        <v>1068</v>
      </c>
      <c r="HQ129" s="10" t="s">
        <v>1068</v>
      </c>
      <c r="HR129" s="10" t="s">
        <v>1068</v>
      </c>
      <c r="HS129" s="10" t="s">
        <v>1068</v>
      </c>
      <c r="HT129" s="10" t="s">
        <v>1068</v>
      </c>
      <c r="HU129" s="10" t="s">
        <v>1068</v>
      </c>
      <c r="HV129" s="10" t="s">
        <v>1068</v>
      </c>
      <c r="HW129" s="10" t="s">
        <v>1068</v>
      </c>
      <c r="HX129" s="10" t="s">
        <v>1068</v>
      </c>
      <c r="HY129" s="10" t="s">
        <v>1068</v>
      </c>
      <c r="HZ129" s="10" t="s">
        <v>1068</v>
      </c>
      <c r="IA129" s="10" t="s">
        <v>1068</v>
      </c>
      <c r="IB129" s="10" t="s">
        <v>1068</v>
      </c>
      <c r="IC129" s="10" t="s">
        <v>1068</v>
      </c>
      <c r="ID129" s="10" t="s">
        <v>1068</v>
      </c>
      <c r="IE129" s="10" t="s">
        <v>1068</v>
      </c>
      <c r="IF129" s="10" t="s">
        <v>1068</v>
      </c>
      <c r="IG129" s="10" t="s">
        <v>1068</v>
      </c>
      <c r="IH129" s="10" t="s">
        <v>1068</v>
      </c>
      <c r="II129" s="10" t="s">
        <v>1068</v>
      </c>
      <c r="IJ129" s="9"/>
      <c r="IK129" s="9"/>
      <c r="IL129" s="9"/>
      <c r="IM129" s="9"/>
      <c r="IN129" s="9"/>
      <c r="IO129" s="9"/>
      <c r="IP129" s="9"/>
      <c r="IQ129" s="9"/>
      <c r="IR129" s="9"/>
      <c r="IS129" s="9"/>
      <c r="IT129" s="9"/>
      <c r="IU129" s="9"/>
      <c r="IV129" s="9"/>
      <c r="IW129" s="9"/>
      <c r="IX129" s="9"/>
      <c r="IY129" s="9"/>
      <c r="IZ129" s="9"/>
      <c r="JA129" s="9"/>
      <c r="JB129" s="9"/>
      <c r="JC129" s="9"/>
      <c r="JD129" s="9"/>
      <c r="JE129" s="9"/>
      <c r="JF129" s="9"/>
      <c r="JG129" s="9"/>
      <c r="JH129" s="9"/>
      <c r="JI129" s="9"/>
      <c r="JJ129" s="9"/>
      <c r="JK129" s="9"/>
      <c r="JL129" s="9"/>
      <c r="JM129" s="9"/>
      <c r="JN129" s="9"/>
      <c r="JO129" s="9"/>
      <c r="JP129" s="9"/>
      <c r="JQ129" s="9"/>
      <c r="JR129" s="9"/>
      <c r="JS129" s="9"/>
      <c r="JT129" s="9"/>
      <c r="JU129" s="9"/>
      <c r="JV129" s="9"/>
      <c r="JW129" s="9"/>
      <c r="JX129" s="9"/>
      <c r="JY129" s="9"/>
      <c r="JZ129" s="9"/>
      <c r="KA129" s="9"/>
      <c r="KB129" s="9"/>
      <c r="KC129" s="9"/>
      <c r="KD129" s="9"/>
      <c r="KE129" s="9"/>
      <c r="KF129" s="9"/>
      <c r="KG129" s="9"/>
      <c r="KH129" s="9"/>
      <c r="KI129" s="9"/>
      <c r="KJ129" s="9"/>
      <c r="KK129" s="9"/>
      <c r="KL129" s="9"/>
      <c r="KM129" s="9"/>
      <c r="KN129" s="9"/>
      <c r="KO129" s="9"/>
      <c r="KP129" s="9"/>
      <c r="KQ129" s="9"/>
      <c r="KR129" s="9"/>
      <c r="KS129" s="9"/>
      <c r="KT129" s="9"/>
      <c r="KU129" s="9"/>
      <c r="KV129" s="9"/>
      <c r="KW129" s="9"/>
      <c r="KX129" s="9"/>
    </row>
    <row r="130" s="9" customFormat="1" customHeight="1" spans="1:310">
      <c r="A130" s="28">
        <v>45931</v>
      </c>
      <c r="B130" s="32" t="s">
        <v>1022</v>
      </c>
      <c r="C130" s="32" t="s">
        <v>1150</v>
      </c>
      <c r="D130" s="32" t="s">
        <v>1151</v>
      </c>
      <c r="E130" s="49" t="s">
        <v>114</v>
      </c>
      <c r="F130" s="31" t="s">
        <v>1974</v>
      </c>
      <c r="G130" s="42" t="s">
        <v>1975</v>
      </c>
      <c r="H130" s="32">
        <v>10</v>
      </c>
      <c r="I130" s="32">
        <v>2021</v>
      </c>
      <c r="J130" s="49" t="s">
        <v>1976</v>
      </c>
      <c r="K130" s="49" t="s">
        <v>1012</v>
      </c>
      <c r="L130" s="32">
        <v>1</v>
      </c>
      <c r="M130" s="32" t="s">
        <v>1013</v>
      </c>
      <c r="N130" s="32" t="s">
        <v>1012</v>
      </c>
      <c r="O130" s="32" t="s">
        <v>1977</v>
      </c>
      <c r="P130" s="32" t="s">
        <v>1018</v>
      </c>
      <c r="Q130" s="32" t="s">
        <v>1018</v>
      </c>
      <c r="R130" s="32" t="s">
        <v>1523</v>
      </c>
      <c r="S130" s="38">
        <v>746.21</v>
      </c>
      <c r="T130" s="32">
        <f>364/4</f>
        <v>91</v>
      </c>
      <c r="U130" s="36" t="s">
        <v>1978</v>
      </c>
      <c r="V130" s="33">
        <f>T130/S130</f>
        <v>0.1219495852374</v>
      </c>
      <c r="W130" s="39" t="s">
        <v>1979</v>
      </c>
      <c r="X130" s="39" t="s">
        <v>1980</v>
      </c>
      <c r="Y130" s="32" t="s">
        <v>1018</v>
      </c>
      <c r="Z130" s="32" t="s">
        <v>1981</v>
      </c>
      <c r="AA130" s="32" t="s">
        <v>1982</v>
      </c>
      <c r="AB130" s="32" t="s">
        <v>1983</v>
      </c>
      <c r="AC130" s="32" t="s">
        <v>1984</v>
      </c>
      <c r="AD130" s="32" t="s">
        <v>1018</v>
      </c>
      <c r="AE130" s="32"/>
      <c r="AF130" s="32"/>
      <c r="AG130" s="32" t="s">
        <v>1985</v>
      </c>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c r="FM130" s="10"/>
      <c r="FN130" s="10"/>
      <c r="FO130" s="10"/>
      <c r="FP130" s="10"/>
      <c r="FQ130" s="10"/>
      <c r="FR130" s="10"/>
      <c r="FS130" s="10"/>
      <c r="FT130" s="10"/>
      <c r="FU130" s="10"/>
      <c r="FV130" s="10"/>
      <c r="FW130" s="10"/>
      <c r="FX130" s="10"/>
      <c r="FY130" s="10"/>
      <c r="FZ130" s="10"/>
      <c r="GA130" s="10"/>
      <c r="GB130" s="10"/>
      <c r="GC130" s="10"/>
      <c r="GD130" s="10"/>
      <c r="GE130" s="10"/>
      <c r="GF130" s="10"/>
      <c r="GG130" s="10"/>
      <c r="GH130" s="10"/>
      <c r="GI130" s="10"/>
      <c r="GJ130" s="10"/>
      <c r="GK130" s="10"/>
      <c r="GL130" s="10"/>
      <c r="GM130" s="10"/>
      <c r="GN130" s="10"/>
      <c r="GO130" s="10"/>
      <c r="GP130" s="10"/>
      <c r="GQ130" s="10"/>
      <c r="GR130" s="10"/>
      <c r="GS130" s="10"/>
      <c r="GT130" s="10"/>
      <c r="GU130" s="10"/>
      <c r="GV130" s="10"/>
      <c r="GW130" s="10"/>
      <c r="GX130" s="10"/>
      <c r="GY130" s="10"/>
      <c r="GZ130" s="10"/>
      <c r="HA130" s="10"/>
      <c r="HB130" s="10"/>
      <c r="HC130" s="10"/>
      <c r="HD130" s="10"/>
      <c r="HE130" s="10"/>
      <c r="HF130" s="10"/>
      <c r="HG130" s="10"/>
      <c r="HH130" s="10"/>
      <c r="HI130" s="10"/>
      <c r="HJ130" s="10"/>
      <c r="HK130" s="10"/>
      <c r="HL130" s="10"/>
      <c r="HM130" s="10"/>
      <c r="HN130" s="10"/>
      <c r="HO130" s="10"/>
      <c r="HP130" s="10"/>
      <c r="HQ130" s="10"/>
      <c r="HR130" s="10"/>
      <c r="HS130" s="10"/>
      <c r="HT130" s="10"/>
      <c r="HU130" s="10"/>
      <c r="HV130" s="10"/>
      <c r="HW130" s="10"/>
      <c r="HX130" s="10"/>
      <c r="HY130" s="10"/>
      <c r="HZ130" s="10"/>
      <c r="IA130" s="10"/>
      <c r="IB130" s="10"/>
      <c r="IC130" s="10"/>
      <c r="ID130" s="10"/>
      <c r="IE130" s="10"/>
      <c r="IF130" s="10"/>
      <c r="IG130" s="10"/>
      <c r="IH130" s="10"/>
      <c r="II130" s="13"/>
      <c r="IJ130" s="10"/>
      <c r="IK130" s="10"/>
      <c r="IL130" s="10"/>
      <c r="IM130" s="10"/>
      <c r="IN130" s="10"/>
      <c r="IO130" s="10"/>
      <c r="IP130" s="10"/>
      <c r="IQ130" s="10"/>
      <c r="IR130" s="10"/>
      <c r="IS130" s="10"/>
      <c r="IT130" s="10"/>
      <c r="IU130" s="10"/>
      <c r="IV130" s="10"/>
      <c r="IW130" s="10"/>
      <c r="IX130" s="10"/>
      <c r="IY130" s="10"/>
      <c r="IZ130" s="10"/>
      <c r="JA130" s="10"/>
      <c r="JB130" s="10"/>
      <c r="JC130" s="10"/>
      <c r="JD130" s="10"/>
      <c r="JE130" s="10"/>
      <c r="JF130" s="10"/>
      <c r="JG130" s="10"/>
      <c r="JH130" s="10"/>
      <c r="JI130" s="10"/>
      <c r="JJ130" s="10"/>
      <c r="JK130" s="10"/>
      <c r="JL130" s="10"/>
      <c r="JM130" s="10"/>
      <c r="JN130" s="10"/>
      <c r="JO130" s="10"/>
      <c r="JP130" s="10"/>
      <c r="JQ130" s="10"/>
      <c r="JR130" s="10"/>
      <c r="JS130" s="10"/>
      <c r="JT130" s="10"/>
      <c r="JU130" s="10"/>
      <c r="JV130" s="10"/>
      <c r="JW130" s="10"/>
      <c r="JX130" s="10"/>
      <c r="JY130" s="10"/>
      <c r="JZ130" s="10"/>
      <c r="KA130" s="10"/>
      <c r="KB130" s="10"/>
      <c r="KC130" s="10"/>
      <c r="KD130" s="10"/>
      <c r="KE130" s="10"/>
      <c r="KF130" s="10"/>
      <c r="KG130" s="10"/>
      <c r="KH130" s="10"/>
      <c r="KI130" s="10"/>
      <c r="KJ130" s="10"/>
      <c r="KK130" s="10"/>
      <c r="KL130" s="10"/>
      <c r="KM130" s="10"/>
      <c r="KN130" s="10"/>
      <c r="KO130" s="10"/>
      <c r="KP130" s="10"/>
      <c r="KQ130" s="10"/>
      <c r="KR130" s="10"/>
      <c r="KS130" s="10"/>
      <c r="KT130" s="10"/>
      <c r="KU130" s="10"/>
      <c r="KV130" s="10"/>
    </row>
    <row r="131" s="9" customFormat="1" customHeight="1" spans="1:310">
      <c r="A131" s="28">
        <v>45931</v>
      </c>
      <c r="B131" s="32" t="s">
        <v>1022</v>
      </c>
      <c r="C131" s="49" t="s">
        <v>1150</v>
      </c>
      <c r="D131" s="49" t="s">
        <v>1151</v>
      </c>
      <c r="E131" s="49" t="s">
        <v>114</v>
      </c>
      <c r="F131" s="31" t="s">
        <v>128</v>
      </c>
      <c r="G131" s="31" t="s">
        <v>129</v>
      </c>
      <c r="H131" s="49">
        <v>10</v>
      </c>
      <c r="I131" s="49">
        <v>2019</v>
      </c>
      <c r="J131" s="49" t="s">
        <v>1920</v>
      </c>
      <c r="K131" s="49" t="s">
        <v>1012</v>
      </c>
      <c r="L131" s="49">
        <v>1</v>
      </c>
      <c r="M131" s="29" t="s">
        <v>1013</v>
      </c>
      <c r="N131" s="29" t="s">
        <v>1014</v>
      </c>
      <c r="O131" s="49" t="s">
        <v>1986</v>
      </c>
      <c r="P131" s="49" t="s">
        <v>1018</v>
      </c>
      <c r="Q131" s="49" t="s">
        <v>1018</v>
      </c>
      <c r="R131" s="49" t="s">
        <v>1017</v>
      </c>
      <c r="S131" s="38">
        <v>1275</v>
      </c>
      <c r="T131" s="32">
        <v>200</v>
      </c>
      <c r="U131" s="36" t="s">
        <v>1987</v>
      </c>
      <c r="V131" s="33">
        <f>T131/S131</f>
        <v>0.156862745098039</v>
      </c>
      <c r="W131" s="100"/>
      <c r="X131" s="100"/>
      <c r="Y131" s="49" t="s">
        <v>1018</v>
      </c>
      <c r="Z131" s="49" t="s">
        <v>1988</v>
      </c>
      <c r="AA131" s="49" t="s">
        <v>1989</v>
      </c>
      <c r="AB131" s="49" t="s">
        <v>1990</v>
      </c>
      <c r="AC131" s="49" t="s">
        <v>1204</v>
      </c>
      <c r="AD131" s="49" t="s">
        <v>1018</v>
      </c>
      <c r="AE131" s="91" t="s">
        <v>1991</v>
      </c>
      <c r="AF131" s="92" t="s">
        <v>1016</v>
      </c>
      <c r="AG131" s="49"/>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10"/>
      <c r="EU131" s="10"/>
      <c r="EV131" s="10"/>
      <c r="EW131" s="10"/>
      <c r="EX131" s="10"/>
      <c r="EY131" s="10"/>
      <c r="EZ131" s="10"/>
      <c r="FA131" s="10"/>
      <c r="FB131" s="10"/>
      <c r="FC131" s="10"/>
      <c r="FD131" s="10"/>
      <c r="FE131" s="10"/>
      <c r="FF131" s="10"/>
      <c r="FG131" s="10"/>
      <c r="FH131" s="10"/>
      <c r="FI131" s="10"/>
      <c r="FJ131" s="10"/>
      <c r="FK131" s="10"/>
      <c r="FL131" s="10"/>
      <c r="FM131" s="10"/>
      <c r="FN131" s="10"/>
      <c r="FO131" s="10"/>
      <c r="FP131" s="10"/>
      <c r="FQ131" s="10"/>
      <c r="FR131" s="10"/>
      <c r="FS131" s="10"/>
      <c r="FT131" s="10"/>
      <c r="FU131" s="10"/>
      <c r="FV131" s="10"/>
      <c r="FW131" s="10"/>
      <c r="FX131" s="10"/>
      <c r="FY131" s="10"/>
      <c r="FZ131" s="10"/>
      <c r="GA131" s="10"/>
      <c r="GB131" s="10"/>
      <c r="GC131" s="10"/>
      <c r="GD131" s="10"/>
      <c r="GE131" s="10"/>
      <c r="GF131" s="10"/>
      <c r="GG131" s="10"/>
      <c r="GH131" s="10"/>
      <c r="GI131" s="10"/>
      <c r="GJ131" s="10"/>
      <c r="GK131" s="10"/>
      <c r="GL131" s="10"/>
      <c r="GM131" s="10"/>
      <c r="GN131" s="10"/>
      <c r="GO131" s="10"/>
      <c r="GP131" s="10"/>
      <c r="GQ131" s="10"/>
      <c r="GR131" s="10"/>
      <c r="GS131" s="10"/>
      <c r="GT131" s="10"/>
      <c r="GU131" s="10"/>
      <c r="GV131" s="10"/>
      <c r="GW131" s="10"/>
      <c r="GX131" s="10"/>
      <c r="GY131" s="10"/>
      <c r="GZ131" s="10"/>
      <c r="HA131" s="10"/>
      <c r="HB131" s="10"/>
      <c r="HC131" s="10"/>
      <c r="HD131" s="10"/>
      <c r="HE131" s="10"/>
      <c r="HF131" s="10"/>
      <c r="HG131" s="10"/>
      <c r="HH131" s="10"/>
      <c r="HI131" s="10"/>
      <c r="HJ131" s="10"/>
      <c r="HK131" s="10"/>
      <c r="HL131" s="10"/>
      <c r="HM131" s="10"/>
      <c r="HN131" s="10"/>
      <c r="HO131" s="10"/>
      <c r="HP131" s="10"/>
      <c r="HQ131" s="10"/>
      <c r="HR131" s="10"/>
      <c r="HS131" s="10"/>
      <c r="HT131" s="10"/>
      <c r="HU131" s="10"/>
      <c r="HV131" s="10"/>
      <c r="HW131" s="10"/>
      <c r="HX131" s="10"/>
      <c r="HY131" s="10"/>
      <c r="HZ131" s="10"/>
      <c r="IA131" s="10"/>
      <c r="IB131" s="10"/>
      <c r="IC131" s="10"/>
      <c r="ID131" s="10"/>
      <c r="IE131" s="10"/>
      <c r="IF131" s="10"/>
      <c r="IG131" s="10"/>
      <c r="IH131" s="10"/>
      <c r="II131" s="11"/>
    </row>
    <row r="132" s="9" customFormat="1" customHeight="1" spans="1:310">
      <c r="A132" s="28">
        <v>45931</v>
      </c>
      <c r="B132" s="29" t="s">
        <v>1022</v>
      </c>
      <c r="C132" s="29" t="s">
        <v>1150</v>
      </c>
      <c r="D132" s="29" t="s">
        <v>1306</v>
      </c>
      <c r="E132" s="30" t="s">
        <v>114</v>
      </c>
      <c r="F132" s="31" t="s">
        <v>184</v>
      </c>
      <c r="G132" s="31" t="s">
        <v>185</v>
      </c>
      <c r="H132" s="29">
        <v>10</v>
      </c>
      <c r="I132" s="29">
        <v>2020</v>
      </c>
      <c r="J132" s="29" t="s">
        <v>1978</v>
      </c>
      <c r="K132" s="29" t="s">
        <v>1012</v>
      </c>
      <c r="L132" s="29">
        <v>1</v>
      </c>
      <c r="M132" s="29" t="s">
        <v>1013</v>
      </c>
      <c r="N132" s="29" t="s">
        <v>1014</v>
      </c>
      <c r="O132" s="29" t="s">
        <v>1015</v>
      </c>
      <c r="P132" s="29" t="s">
        <v>1018</v>
      </c>
      <c r="Q132" s="29" t="s">
        <v>1018</v>
      </c>
      <c r="R132" s="29" t="s">
        <v>1017</v>
      </c>
      <c r="S132" s="60">
        <v>882.56</v>
      </c>
      <c r="T132" s="29">
        <v>200</v>
      </c>
      <c r="U132" s="45" t="s">
        <v>1992</v>
      </c>
      <c r="V132" s="64">
        <f>T132/S132</f>
        <v>0.226613488034808</v>
      </c>
      <c r="W132" s="34">
        <v>0.6739</v>
      </c>
      <c r="X132" s="34" t="s">
        <v>1993</v>
      </c>
      <c r="Y132" s="29" t="s">
        <v>1018</v>
      </c>
      <c r="Z132" s="29" t="s">
        <v>1994</v>
      </c>
      <c r="AA132" s="29" t="s">
        <v>36</v>
      </c>
      <c r="AB132" s="35">
        <v>0.5</v>
      </c>
      <c r="AC132" s="29" t="s">
        <v>65</v>
      </c>
      <c r="AD132" s="29" t="s">
        <v>1018</v>
      </c>
      <c r="AE132" s="29"/>
      <c r="AF132" s="29"/>
      <c r="AG132" s="41" t="s">
        <v>1081</v>
      </c>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c r="EO132" s="16"/>
      <c r="EP132" s="16"/>
      <c r="EQ132" s="16"/>
      <c r="ER132" s="16"/>
      <c r="ES132" s="16"/>
      <c r="ET132" s="16"/>
      <c r="EU132" s="16"/>
      <c r="EV132" s="16"/>
      <c r="EW132" s="16"/>
      <c r="EX132" s="16"/>
      <c r="EY132" s="16"/>
      <c r="EZ132" s="16"/>
      <c r="FA132" s="16"/>
      <c r="FB132" s="16"/>
      <c r="FC132" s="16"/>
      <c r="FD132" s="16"/>
      <c r="FE132" s="16"/>
      <c r="FF132" s="16"/>
      <c r="FG132" s="16"/>
      <c r="FH132" s="16"/>
      <c r="FI132" s="16"/>
      <c r="FJ132" s="16"/>
      <c r="FK132" s="16"/>
      <c r="FL132" s="16"/>
      <c r="FM132" s="16"/>
      <c r="FN132" s="16"/>
      <c r="FO132" s="16"/>
      <c r="FP132" s="16"/>
      <c r="FQ132" s="16"/>
      <c r="FR132" s="16"/>
      <c r="FS132" s="16"/>
      <c r="FT132" s="16"/>
      <c r="FU132" s="16"/>
      <c r="FV132" s="16"/>
      <c r="FW132" s="16"/>
      <c r="FX132" s="16"/>
      <c r="FY132" s="16"/>
      <c r="FZ132" s="16"/>
      <c r="GA132" s="16"/>
      <c r="GB132" s="16"/>
      <c r="GC132" s="16"/>
      <c r="GD132" s="16"/>
      <c r="GE132" s="16"/>
      <c r="GF132" s="16"/>
      <c r="GG132" s="16"/>
      <c r="GH132" s="16"/>
      <c r="GI132" s="16"/>
      <c r="GJ132" s="16"/>
      <c r="GK132" s="16"/>
      <c r="GL132" s="16"/>
      <c r="GM132" s="16"/>
      <c r="GN132" s="16"/>
      <c r="GO132" s="16"/>
      <c r="GP132" s="16"/>
      <c r="GQ132" s="16"/>
      <c r="GR132" s="16"/>
      <c r="GS132" s="16"/>
      <c r="GT132" s="16"/>
      <c r="GU132" s="16"/>
      <c r="GV132" s="16"/>
      <c r="GW132" s="16"/>
      <c r="GX132" s="16"/>
      <c r="GY132" s="16"/>
      <c r="GZ132" s="16"/>
      <c r="HA132" s="16"/>
      <c r="HB132" s="16"/>
      <c r="HC132" s="16"/>
      <c r="HD132" s="16"/>
      <c r="HE132" s="16"/>
      <c r="HF132" s="16"/>
      <c r="HG132" s="16"/>
      <c r="HH132" s="16"/>
      <c r="HI132" s="16"/>
      <c r="HJ132" s="16"/>
      <c r="HK132" s="16"/>
      <c r="HL132" s="16"/>
      <c r="HM132" s="16"/>
      <c r="HN132" s="16"/>
      <c r="HO132" s="16"/>
      <c r="HP132" s="16"/>
      <c r="HQ132" s="16"/>
      <c r="HR132" s="16"/>
      <c r="HS132" s="16"/>
      <c r="HT132" s="16"/>
      <c r="HU132" s="16"/>
      <c r="HV132" s="16"/>
      <c r="HW132" s="16"/>
      <c r="HX132" s="16"/>
      <c r="HY132" s="16"/>
      <c r="HZ132" s="16"/>
      <c r="IA132" s="16"/>
      <c r="IB132" s="16"/>
      <c r="IC132" s="16"/>
      <c r="ID132" s="16"/>
      <c r="IE132" s="16"/>
      <c r="IF132" s="16"/>
      <c r="IG132" s="16"/>
      <c r="IH132" s="16"/>
      <c r="II132" s="16"/>
      <c r="IJ132" s="22"/>
      <c r="IK132" s="22"/>
      <c r="IL132" s="22"/>
      <c r="IM132" s="22"/>
      <c r="IN132" s="22"/>
      <c r="IO132" s="22"/>
      <c r="IP132" s="22"/>
      <c r="IQ132" s="22"/>
      <c r="IR132" s="22"/>
      <c r="IS132" s="22"/>
      <c r="IT132" s="22"/>
      <c r="IU132" s="22"/>
      <c r="IV132" s="22"/>
      <c r="IW132" s="22"/>
      <c r="IX132" s="22"/>
      <c r="IY132" s="22"/>
      <c r="IZ132" s="22"/>
      <c r="JA132" s="22"/>
      <c r="JB132" s="22"/>
      <c r="JC132" s="22"/>
      <c r="JD132" s="22"/>
      <c r="JE132" s="22"/>
      <c r="JF132" s="22"/>
      <c r="JG132" s="22"/>
      <c r="JH132" s="22"/>
      <c r="JI132" s="22"/>
      <c r="JJ132" s="22"/>
      <c r="JK132" s="22"/>
      <c r="JL132" s="22"/>
      <c r="JM132" s="22"/>
      <c r="JN132" s="22"/>
      <c r="JO132" s="22"/>
      <c r="JP132" s="22"/>
      <c r="JQ132" s="22"/>
      <c r="JR132" s="22"/>
      <c r="JS132" s="22"/>
      <c r="JT132" s="22"/>
      <c r="JU132" s="22"/>
      <c r="JV132" s="22"/>
      <c r="JW132" s="22"/>
      <c r="JX132" s="22"/>
      <c r="JY132" s="22"/>
      <c r="JZ132" s="22"/>
      <c r="KA132" s="22"/>
      <c r="KB132" s="22"/>
      <c r="KC132" s="22"/>
      <c r="KD132" s="22"/>
      <c r="KE132" s="22"/>
      <c r="KF132" s="22"/>
      <c r="KG132" s="22"/>
      <c r="KH132" s="22"/>
      <c r="KI132" s="22"/>
      <c r="KJ132" s="22"/>
      <c r="KK132" s="22"/>
      <c r="KL132" s="22"/>
      <c r="KM132" s="22"/>
      <c r="KN132" s="22"/>
      <c r="KO132" s="22"/>
      <c r="KP132" s="22"/>
      <c r="KQ132" s="22"/>
      <c r="KR132" s="22"/>
      <c r="KS132" s="22"/>
      <c r="KT132" s="22"/>
      <c r="KU132" s="22"/>
      <c r="KV132" s="22"/>
      <c r="KW132" s="18"/>
      <c r="KX132" s="18"/>
    </row>
    <row r="133" s="10" customFormat="1" customHeight="1" spans="1:310">
      <c r="A133" s="28">
        <v>45931</v>
      </c>
      <c r="B133" s="29" t="s">
        <v>1022</v>
      </c>
      <c r="C133" s="29" t="s">
        <v>30</v>
      </c>
      <c r="D133" s="29" t="s">
        <v>30</v>
      </c>
      <c r="E133" s="30" t="s">
        <v>30</v>
      </c>
      <c r="F133" s="31" t="s">
        <v>30</v>
      </c>
      <c r="G133" s="31" t="s">
        <v>1995</v>
      </c>
      <c r="H133" s="29">
        <v>10</v>
      </c>
      <c r="I133" s="29">
        <v>2022</v>
      </c>
      <c r="J133" s="30" t="s">
        <v>1929</v>
      </c>
      <c r="K133" s="30" t="s">
        <v>1127</v>
      </c>
      <c r="L133" s="29">
        <v>12</v>
      </c>
      <c r="M133" s="29" t="s">
        <v>1996</v>
      </c>
      <c r="N133" s="29" t="s">
        <v>1155</v>
      </c>
      <c r="O133" s="29" t="s">
        <v>1997</v>
      </c>
      <c r="P133" s="29" t="s">
        <v>1016</v>
      </c>
      <c r="Q133" s="29" t="s">
        <v>1998</v>
      </c>
      <c r="R133" s="29"/>
      <c r="S133" s="60" t="s">
        <v>1046</v>
      </c>
      <c r="T133" s="51">
        <v>250</v>
      </c>
      <c r="U133" s="29">
        <v>2025.9</v>
      </c>
      <c r="V133" s="33"/>
      <c r="W133" s="34"/>
      <c r="X133" s="34"/>
      <c r="Y133" s="29" t="s">
        <v>1016</v>
      </c>
      <c r="Z133" s="47" t="s">
        <v>1046</v>
      </c>
      <c r="AA133" s="47" t="s">
        <v>1046</v>
      </c>
      <c r="AB133" s="47" t="s">
        <v>1046</v>
      </c>
      <c r="AC133" s="47" t="s">
        <v>1046</v>
      </c>
      <c r="AD133" s="47" t="s">
        <v>1046</v>
      </c>
      <c r="AE133" s="47"/>
      <c r="AF133" s="47"/>
      <c r="AG133" s="47" t="s">
        <v>1046</v>
      </c>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U133" s="11"/>
      <c r="CV133" s="11"/>
      <c r="CW133" s="11"/>
      <c r="CX133" s="11"/>
      <c r="CY133" s="11"/>
      <c r="CZ133" s="11"/>
      <c r="DA133" s="11"/>
      <c r="DB133" s="11"/>
      <c r="DC133" s="11"/>
      <c r="DD133" s="11"/>
      <c r="DE133" s="11"/>
      <c r="DF133" s="11"/>
      <c r="DG133" s="11"/>
      <c r="DH133" s="11"/>
      <c r="DI133" s="11"/>
      <c r="DJ133" s="11"/>
      <c r="DK133" s="11"/>
      <c r="DL133" s="11"/>
      <c r="DM133" s="11"/>
      <c r="DN133" s="11"/>
      <c r="DO133" s="11"/>
      <c r="DP133" s="11"/>
      <c r="DQ133" s="11"/>
      <c r="DR133" s="11"/>
      <c r="DS133" s="11"/>
      <c r="DT133" s="11"/>
      <c r="DU133" s="11"/>
      <c r="DV133" s="11"/>
      <c r="DW133" s="11"/>
      <c r="DX133" s="11"/>
      <c r="DY133" s="11"/>
      <c r="DZ133" s="11"/>
      <c r="EA133" s="11"/>
      <c r="EB133" s="11"/>
      <c r="EC133" s="11"/>
      <c r="ED133" s="11"/>
      <c r="EE133" s="11"/>
      <c r="EF133" s="11"/>
      <c r="EG133" s="11"/>
      <c r="EH133" s="11"/>
      <c r="EI133" s="11"/>
      <c r="EJ133" s="11"/>
      <c r="EK133" s="11"/>
      <c r="EL133" s="11"/>
      <c r="EM133" s="11"/>
      <c r="EN133" s="11"/>
      <c r="EO133" s="11"/>
      <c r="EP133" s="11"/>
      <c r="EQ133" s="11"/>
      <c r="ER133" s="11"/>
      <c r="ES133" s="11"/>
      <c r="ET133" s="11"/>
      <c r="EU133" s="11"/>
      <c r="EV133" s="11"/>
      <c r="EW133" s="11"/>
      <c r="EX133" s="11"/>
      <c r="EY133" s="11"/>
      <c r="EZ133" s="11"/>
      <c r="FA133" s="11"/>
      <c r="FB133" s="11"/>
      <c r="FC133" s="11"/>
      <c r="FD133" s="11"/>
      <c r="FE133" s="11"/>
      <c r="FF133" s="11"/>
      <c r="FG133" s="11"/>
      <c r="FH133" s="11"/>
      <c r="FI133" s="11"/>
      <c r="FJ133" s="11"/>
      <c r="FK133" s="11"/>
      <c r="FL133" s="11"/>
      <c r="FM133" s="11"/>
      <c r="FN133" s="11"/>
      <c r="FO133" s="11"/>
      <c r="FP133" s="11"/>
      <c r="FQ133" s="11"/>
      <c r="FR133" s="11"/>
      <c r="FS133" s="11"/>
      <c r="FT133" s="11"/>
      <c r="FU133" s="11"/>
      <c r="FV133" s="11"/>
      <c r="FW133" s="11"/>
      <c r="FX133" s="11"/>
      <c r="FY133" s="11"/>
      <c r="FZ133" s="11"/>
      <c r="GA133" s="11"/>
      <c r="GB133" s="11"/>
      <c r="GC133" s="11"/>
      <c r="GD133" s="11"/>
      <c r="GE133" s="11"/>
      <c r="GF133" s="11"/>
      <c r="GG133" s="11"/>
      <c r="GH133" s="11"/>
      <c r="GI133" s="11"/>
      <c r="GJ133" s="11"/>
      <c r="GK133" s="11"/>
      <c r="GL133" s="11"/>
      <c r="GM133" s="11"/>
      <c r="GN133" s="11"/>
      <c r="GO133" s="11"/>
      <c r="GP133" s="11"/>
      <c r="GQ133" s="11"/>
      <c r="GR133" s="11"/>
      <c r="GS133" s="11"/>
      <c r="GT133" s="11"/>
      <c r="GU133" s="11"/>
      <c r="GV133" s="11"/>
      <c r="GW133" s="11"/>
      <c r="GX133" s="11"/>
      <c r="GY133" s="11"/>
      <c r="GZ133" s="11"/>
      <c r="HA133" s="11"/>
      <c r="HB133" s="11"/>
      <c r="HC133" s="11"/>
      <c r="HD133" s="11"/>
      <c r="HE133" s="11"/>
      <c r="HF133" s="11"/>
      <c r="HG133" s="11"/>
      <c r="HH133" s="11"/>
      <c r="HI133" s="11"/>
      <c r="HJ133" s="11"/>
      <c r="HK133" s="11"/>
      <c r="HL133" s="11"/>
      <c r="HM133" s="11"/>
      <c r="HN133" s="11"/>
      <c r="HO133" s="11"/>
      <c r="HP133" s="11"/>
      <c r="HQ133" s="11"/>
      <c r="HR133" s="11"/>
      <c r="HS133" s="11"/>
      <c r="HT133" s="11"/>
      <c r="HU133" s="11"/>
      <c r="HV133" s="11"/>
      <c r="HW133" s="11"/>
      <c r="HX133" s="11"/>
      <c r="HY133" s="11"/>
      <c r="HZ133" s="11"/>
      <c r="IA133" s="11"/>
      <c r="IB133" s="11"/>
      <c r="IC133" s="11"/>
      <c r="ID133" s="11"/>
      <c r="IE133" s="11"/>
      <c r="IF133" s="11"/>
      <c r="IG133" s="11"/>
      <c r="IH133" s="11"/>
      <c r="II133" s="9"/>
      <c r="IJ133" s="12"/>
      <c r="IK133" s="12"/>
      <c r="IL133" s="12"/>
      <c r="IM133" s="12"/>
      <c r="IN133" s="12"/>
      <c r="IO133" s="12"/>
      <c r="IP133" s="12"/>
      <c r="IQ133" s="12"/>
      <c r="IR133" s="12"/>
      <c r="IS133" s="12"/>
      <c r="IT133" s="12"/>
      <c r="IU133" s="12"/>
      <c r="IV133" s="12"/>
      <c r="IW133" s="12"/>
      <c r="IX133" s="12"/>
      <c r="IY133" s="12"/>
      <c r="IZ133" s="12"/>
      <c r="JA133" s="12"/>
      <c r="JB133" s="12"/>
      <c r="JC133" s="12"/>
      <c r="JD133" s="12"/>
      <c r="JE133" s="12"/>
      <c r="JF133" s="12"/>
      <c r="JG133" s="12"/>
      <c r="JH133" s="12"/>
      <c r="JI133" s="12"/>
      <c r="JJ133" s="12"/>
      <c r="JK133" s="12"/>
      <c r="JL133" s="12"/>
      <c r="JM133" s="12"/>
      <c r="JN133" s="12"/>
      <c r="JO133" s="12"/>
      <c r="JP133" s="12"/>
      <c r="JQ133" s="12"/>
      <c r="JR133" s="12"/>
      <c r="JS133" s="12"/>
      <c r="JT133" s="12"/>
      <c r="JU133" s="12"/>
      <c r="JV133" s="12"/>
      <c r="JW133" s="12"/>
      <c r="JX133" s="12"/>
      <c r="JY133" s="12"/>
      <c r="JZ133" s="12"/>
      <c r="KA133" s="12"/>
      <c r="KB133" s="12"/>
      <c r="KC133" s="12"/>
      <c r="KD133" s="12"/>
      <c r="KE133" s="12"/>
      <c r="KF133" s="12"/>
      <c r="KG133" s="12"/>
      <c r="KH133" s="12"/>
      <c r="KI133" s="12"/>
      <c r="KJ133" s="12"/>
      <c r="KK133" s="12"/>
      <c r="KL133" s="12"/>
      <c r="KM133" s="12"/>
      <c r="KN133" s="12"/>
      <c r="KO133" s="12"/>
      <c r="KP133" s="12"/>
      <c r="KQ133" s="12"/>
      <c r="KR133" s="12"/>
      <c r="KS133" s="12"/>
      <c r="KT133" s="12"/>
      <c r="KU133" s="12"/>
      <c r="KV133" s="12"/>
      <c r="KW133" s="9"/>
      <c r="KX133" s="9"/>
    </row>
    <row r="134" s="9" customFormat="1" customHeight="1" spans="1:310">
      <c r="A134" s="28">
        <v>45931</v>
      </c>
      <c r="B134" s="29" t="s">
        <v>1022</v>
      </c>
      <c r="C134" s="30" t="s">
        <v>1007</v>
      </c>
      <c r="D134" s="30" t="s">
        <v>1215</v>
      </c>
      <c r="E134" s="30" t="s">
        <v>678</v>
      </c>
      <c r="F134" s="31" t="s">
        <v>729</v>
      </c>
      <c r="G134" s="31" t="s">
        <v>681</v>
      </c>
      <c r="H134" s="30">
        <v>10</v>
      </c>
      <c r="I134" s="30">
        <v>2020</v>
      </c>
      <c r="J134" s="30" t="s">
        <v>1999</v>
      </c>
      <c r="K134" s="30" t="s">
        <v>1012</v>
      </c>
      <c r="L134" s="30">
        <v>1</v>
      </c>
      <c r="M134" s="29" t="s">
        <v>1013</v>
      </c>
      <c r="N134" s="29" t="s">
        <v>1014</v>
      </c>
      <c r="O134" s="30" t="s">
        <v>2000</v>
      </c>
      <c r="P134" s="30" t="s">
        <v>1018</v>
      </c>
      <c r="Q134" s="30" t="s">
        <v>1016</v>
      </c>
      <c r="R134" s="30" t="s">
        <v>1039</v>
      </c>
      <c r="S134" s="60">
        <v>920.24</v>
      </c>
      <c r="T134" s="29">
        <v>100</v>
      </c>
      <c r="U134" s="29">
        <v>2025.2</v>
      </c>
      <c r="V134" s="33">
        <f t="shared" ref="V134:V139" si="2">T134/S134</f>
        <v>0.108667304181518</v>
      </c>
      <c r="W134" s="34">
        <v>0.795</v>
      </c>
      <c r="X134" s="34"/>
      <c r="Y134" s="30" t="s">
        <v>1018</v>
      </c>
      <c r="Z134" s="30" t="s">
        <v>2001</v>
      </c>
      <c r="AA134" s="30" t="s">
        <v>1470</v>
      </c>
      <c r="AB134" s="30" t="s">
        <v>2002</v>
      </c>
      <c r="AC134" s="30" t="s">
        <v>1898</v>
      </c>
      <c r="AD134" s="30" t="s">
        <v>1018</v>
      </c>
      <c r="AE134" s="91" t="s">
        <v>2003</v>
      </c>
      <c r="AF134" s="92" t="s">
        <v>1016</v>
      </c>
      <c r="AG134" s="41" t="s">
        <v>1081</v>
      </c>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row>
    <row r="135" s="10" customFormat="1" customHeight="1" spans="1:310">
      <c r="A135" s="28">
        <v>45931</v>
      </c>
      <c r="B135" s="32" t="s">
        <v>1022</v>
      </c>
      <c r="C135" s="29" t="s">
        <v>1007</v>
      </c>
      <c r="D135" s="29" t="s">
        <v>134</v>
      </c>
      <c r="E135" s="30" t="s">
        <v>678</v>
      </c>
      <c r="F135" s="31" t="s">
        <v>706</v>
      </c>
      <c r="G135" s="31" t="s">
        <v>707</v>
      </c>
      <c r="H135" s="29">
        <v>10</v>
      </c>
      <c r="I135" s="29">
        <v>2020</v>
      </c>
      <c r="J135" s="49" t="s">
        <v>2004</v>
      </c>
      <c r="K135" s="49" t="s">
        <v>1012</v>
      </c>
      <c r="L135" s="29">
        <v>1</v>
      </c>
      <c r="M135" s="29" t="s">
        <v>1013</v>
      </c>
      <c r="N135" s="29" t="s">
        <v>1014</v>
      </c>
      <c r="O135" s="101">
        <v>69</v>
      </c>
      <c r="P135" s="29" t="s">
        <v>1018</v>
      </c>
      <c r="Q135" s="29" t="s">
        <v>1018</v>
      </c>
      <c r="R135" s="29" t="s">
        <v>1017</v>
      </c>
      <c r="S135" s="60">
        <v>470.41</v>
      </c>
      <c r="T135" s="29">
        <v>143</v>
      </c>
      <c r="U135" s="29" t="s">
        <v>2005</v>
      </c>
      <c r="V135" s="33">
        <f t="shared" si="2"/>
        <v>0.30399013626411</v>
      </c>
      <c r="W135" s="34">
        <v>1.11</v>
      </c>
      <c r="X135" s="34" t="s">
        <v>2006</v>
      </c>
      <c r="Y135" s="29" t="s">
        <v>1018</v>
      </c>
      <c r="Z135" s="29" t="s">
        <v>1453</v>
      </c>
      <c r="AA135" s="29" t="s">
        <v>2007</v>
      </c>
      <c r="AB135" s="29" t="s">
        <v>2008</v>
      </c>
      <c r="AC135" s="29" t="s">
        <v>37</v>
      </c>
      <c r="AD135" s="29" t="s">
        <v>1018</v>
      </c>
      <c r="AE135" s="29" t="s">
        <v>2009</v>
      </c>
      <c r="AF135" s="29"/>
      <c r="AG135" s="2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c r="DV135" s="11"/>
      <c r="DW135" s="11"/>
      <c r="DX135" s="11"/>
      <c r="DY135" s="11"/>
      <c r="DZ135" s="11"/>
      <c r="EA135" s="11"/>
      <c r="EB135" s="11"/>
      <c r="EC135" s="11"/>
      <c r="ED135" s="11"/>
      <c r="EE135" s="11"/>
      <c r="EF135" s="11"/>
      <c r="EG135" s="11"/>
      <c r="EH135" s="11"/>
      <c r="EI135" s="11"/>
      <c r="EJ135" s="11"/>
      <c r="EK135" s="11"/>
      <c r="EL135" s="11"/>
      <c r="EM135" s="11"/>
      <c r="EN135" s="11"/>
      <c r="EO135" s="11"/>
      <c r="EP135" s="11"/>
      <c r="EQ135" s="11"/>
      <c r="ER135" s="11"/>
      <c r="ES135" s="11"/>
      <c r="ET135" s="11"/>
      <c r="EU135" s="11"/>
      <c r="EV135" s="11"/>
      <c r="EW135" s="11"/>
      <c r="EX135" s="11"/>
      <c r="EY135" s="11"/>
      <c r="EZ135" s="11"/>
      <c r="FA135" s="11"/>
      <c r="FB135" s="11"/>
      <c r="FC135" s="11"/>
      <c r="FD135" s="11"/>
      <c r="FE135" s="11"/>
      <c r="FF135" s="11"/>
      <c r="FG135" s="11"/>
      <c r="FH135" s="11"/>
      <c r="FI135" s="11"/>
      <c r="FJ135" s="11"/>
      <c r="FK135" s="11"/>
      <c r="FL135" s="11"/>
      <c r="FM135" s="11"/>
      <c r="FN135" s="11"/>
      <c r="FO135" s="11"/>
      <c r="FP135" s="11"/>
      <c r="FQ135" s="11"/>
      <c r="FR135" s="11"/>
      <c r="FS135" s="11"/>
      <c r="FT135" s="11"/>
      <c r="FU135" s="11"/>
      <c r="FV135" s="11"/>
      <c r="FW135" s="11"/>
      <c r="FX135" s="11"/>
      <c r="FY135" s="11"/>
      <c r="FZ135" s="11"/>
      <c r="GA135" s="11"/>
      <c r="GB135" s="11"/>
      <c r="GC135" s="11"/>
      <c r="GD135" s="11"/>
      <c r="GE135" s="11"/>
      <c r="GF135" s="11"/>
      <c r="GG135" s="11"/>
      <c r="GH135" s="11"/>
      <c r="GI135" s="11"/>
      <c r="GJ135" s="11"/>
      <c r="GK135" s="11"/>
      <c r="GL135" s="11"/>
      <c r="GM135" s="11"/>
      <c r="GN135" s="11"/>
      <c r="GO135" s="11"/>
      <c r="GP135" s="11"/>
      <c r="GQ135" s="11"/>
      <c r="GR135" s="11"/>
      <c r="GS135" s="11"/>
      <c r="GT135" s="11"/>
      <c r="GU135" s="11"/>
      <c r="GV135" s="11"/>
      <c r="GW135" s="11"/>
      <c r="GX135" s="11"/>
      <c r="GY135" s="11"/>
      <c r="GZ135" s="11"/>
      <c r="HA135" s="11"/>
      <c r="HB135" s="11"/>
      <c r="HC135" s="11"/>
      <c r="HD135" s="11"/>
      <c r="HE135" s="11"/>
      <c r="HF135" s="11"/>
      <c r="HG135" s="11"/>
      <c r="HH135" s="11"/>
      <c r="HI135" s="11"/>
      <c r="HJ135" s="11"/>
      <c r="HK135" s="11"/>
      <c r="HL135" s="11"/>
      <c r="HM135" s="11"/>
      <c r="HN135" s="11"/>
      <c r="HO135" s="11"/>
      <c r="HP135" s="11"/>
      <c r="HQ135" s="11"/>
      <c r="HR135" s="11"/>
      <c r="HS135" s="11"/>
      <c r="HT135" s="11"/>
      <c r="HU135" s="11"/>
      <c r="HV135" s="11"/>
      <c r="HW135" s="11"/>
      <c r="HX135" s="11"/>
      <c r="HY135" s="11"/>
      <c r="HZ135" s="11"/>
      <c r="IA135" s="11"/>
      <c r="IB135" s="11"/>
      <c r="IC135" s="11"/>
      <c r="ID135" s="11"/>
      <c r="IE135" s="11"/>
      <c r="IF135" s="11"/>
      <c r="IG135" s="11"/>
      <c r="IH135" s="11"/>
      <c r="IJ135" s="9"/>
      <c r="IK135" s="9"/>
      <c r="IL135" s="9"/>
      <c r="IM135" s="9"/>
      <c r="IN135" s="9"/>
      <c r="IO135" s="9"/>
      <c r="IP135" s="9"/>
      <c r="IQ135" s="9"/>
      <c r="IR135" s="9"/>
      <c r="IS135" s="9"/>
      <c r="IT135" s="9"/>
      <c r="IU135" s="9"/>
      <c r="IV135" s="9"/>
      <c r="IW135" s="9"/>
      <c r="IX135" s="9"/>
      <c r="IY135" s="9"/>
      <c r="IZ135" s="9"/>
      <c r="JA135" s="9"/>
      <c r="JB135" s="9"/>
      <c r="JC135" s="9"/>
      <c r="JD135" s="9"/>
      <c r="JE135" s="9"/>
      <c r="JF135" s="9"/>
      <c r="JG135" s="9"/>
      <c r="JH135" s="9"/>
      <c r="JI135" s="9"/>
      <c r="JJ135" s="9"/>
      <c r="JK135" s="9"/>
      <c r="JL135" s="9"/>
      <c r="JM135" s="9"/>
      <c r="JN135" s="9"/>
      <c r="JO135" s="9"/>
      <c r="JP135" s="9"/>
      <c r="JQ135" s="9"/>
      <c r="JR135" s="9"/>
      <c r="JS135" s="9"/>
      <c r="JT135" s="9"/>
      <c r="JU135" s="9"/>
      <c r="JV135" s="9"/>
      <c r="JW135" s="9"/>
      <c r="JX135" s="9"/>
      <c r="JY135" s="9"/>
      <c r="JZ135" s="9"/>
      <c r="KA135" s="9"/>
      <c r="KB135" s="9"/>
      <c r="KC135" s="9"/>
      <c r="KD135" s="9"/>
      <c r="KE135" s="9"/>
      <c r="KF135" s="9"/>
      <c r="KG135" s="9"/>
      <c r="KH135" s="9"/>
      <c r="KI135" s="9"/>
      <c r="KJ135" s="9"/>
      <c r="KK135" s="9"/>
      <c r="KL135" s="9"/>
      <c r="KM135" s="9"/>
      <c r="KN135" s="9"/>
      <c r="KO135" s="9"/>
      <c r="KP135" s="9"/>
      <c r="KQ135" s="9"/>
      <c r="KR135" s="9"/>
      <c r="KS135" s="9"/>
      <c r="KT135" s="9"/>
      <c r="KU135" s="9"/>
      <c r="KV135" s="9"/>
      <c r="KW135" s="20"/>
      <c r="KX135" s="20"/>
    </row>
    <row r="136" s="10" customFormat="1" customHeight="1" spans="1:310">
      <c r="A136" s="28">
        <v>45931</v>
      </c>
      <c r="B136" s="29" t="s">
        <v>1022</v>
      </c>
      <c r="C136" s="32" t="s">
        <v>1007</v>
      </c>
      <c r="D136" s="32" t="s">
        <v>134</v>
      </c>
      <c r="E136" s="32" t="s">
        <v>678</v>
      </c>
      <c r="F136" s="31" t="s">
        <v>2010</v>
      </c>
      <c r="G136" s="31" t="s">
        <v>2011</v>
      </c>
      <c r="H136" s="49">
        <v>10</v>
      </c>
      <c r="I136" s="29">
        <v>2021</v>
      </c>
      <c r="J136" s="76" t="s">
        <v>2004</v>
      </c>
      <c r="K136" s="76" t="s">
        <v>1012</v>
      </c>
      <c r="L136" s="49">
        <v>1</v>
      </c>
      <c r="M136" s="29" t="s">
        <v>1013</v>
      </c>
      <c r="N136" s="29" t="s">
        <v>1014</v>
      </c>
      <c r="O136" s="32" t="s">
        <v>2012</v>
      </c>
      <c r="P136" s="32" t="s">
        <v>1018</v>
      </c>
      <c r="Q136" s="32" t="s">
        <v>1016</v>
      </c>
      <c r="R136" s="32" t="s">
        <v>1039</v>
      </c>
      <c r="S136" s="38">
        <v>296.84</v>
      </c>
      <c r="T136" s="32">
        <f>160/4</f>
        <v>40</v>
      </c>
      <c r="U136" s="32">
        <v>2025.1</v>
      </c>
      <c r="V136" s="33">
        <f t="shared" si="2"/>
        <v>0.134752728742757</v>
      </c>
      <c r="W136" s="39">
        <v>0.969</v>
      </c>
      <c r="X136" s="39" t="s">
        <v>2013</v>
      </c>
      <c r="Y136" s="32" t="s">
        <v>1016</v>
      </c>
      <c r="Z136" s="47" t="s">
        <v>1046</v>
      </c>
      <c r="AA136" s="47" t="s">
        <v>1046</v>
      </c>
      <c r="AB136" s="47" t="s">
        <v>1046</v>
      </c>
      <c r="AC136" s="47" t="s">
        <v>1046</v>
      </c>
      <c r="AD136" s="47" t="s">
        <v>1046</v>
      </c>
      <c r="AE136" s="47"/>
      <c r="AF136" s="47"/>
      <c r="AG136" s="47" t="s">
        <v>1046</v>
      </c>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c r="DN136" s="9"/>
      <c r="DO136" s="9"/>
      <c r="DP136" s="9"/>
      <c r="DQ136" s="9"/>
      <c r="DR136" s="9"/>
      <c r="DS136" s="9"/>
      <c r="DT136" s="9"/>
      <c r="DU136" s="9"/>
      <c r="DV136" s="9"/>
      <c r="DW136" s="9"/>
      <c r="DX136" s="9"/>
      <c r="DY136" s="9"/>
      <c r="DZ136" s="9"/>
      <c r="EA136" s="9"/>
      <c r="EB136" s="9"/>
      <c r="EC136" s="9"/>
      <c r="ED136" s="9"/>
      <c r="EE136" s="9"/>
      <c r="EF136" s="9"/>
      <c r="EG136" s="9"/>
      <c r="EH136" s="9"/>
      <c r="EI136" s="9"/>
      <c r="EJ136" s="9"/>
      <c r="EK136" s="9"/>
      <c r="EL136" s="9"/>
      <c r="EM136" s="9"/>
      <c r="EN136" s="9"/>
      <c r="EO136" s="9"/>
      <c r="EP136" s="9"/>
      <c r="EQ136" s="9"/>
      <c r="ER136" s="9"/>
      <c r="ES136" s="9"/>
      <c r="ET136" s="9"/>
      <c r="EU136" s="9"/>
      <c r="EV136" s="9"/>
      <c r="EW136" s="9"/>
      <c r="EX136" s="9"/>
      <c r="EY136" s="9"/>
      <c r="EZ136" s="9"/>
      <c r="FA136" s="9"/>
      <c r="FB136" s="9"/>
      <c r="FC136" s="9"/>
      <c r="FD136" s="9"/>
      <c r="FE136" s="9"/>
      <c r="FF136" s="9"/>
      <c r="FG136" s="9"/>
      <c r="FH136" s="9"/>
      <c r="FI136" s="9"/>
      <c r="FJ136" s="9"/>
      <c r="FK136" s="9"/>
      <c r="FL136" s="9"/>
      <c r="FM136" s="9"/>
      <c r="FN136" s="9"/>
      <c r="FO136" s="9"/>
      <c r="FP136" s="9"/>
      <c r="FQ136" s="9"/>
      <c r="FR136" s="9"/>
      <c r="FS136" s="9"/>
      <c r="FT136" s="9"/>
      <c r="FU136" s="9"/>
      <c r="FV136" s="9"/>
      <c r="FW136" s="9"/>
      <c r="FX136" s="9"/>
      <c r="FY136" s="9"/>
      <c r="FZ136" s="9"/>
      <c r="GA136" s="9"/>
      <c r="GB136" s="9"/>
      <c r="GC136" s="9"/>
      <c r="GD136" s="9"/>
      <c r="GE136" s="9"/>
      <c r="GF136" s="9"/>
      <c r="GG136" s="9"/>
      <c r="GH136" s="9"/>
      <c r="GI136" s="9"/>
      <c r="GJ136" s="9"/>
      <c r="GK136" s="9"/>
      <c r="GL136" s="9"/>
      <c r="GM136" s="9"/>
      <c r="GN136" s="9"/>
      <c r="GO136" s="9"/>
      <c r="GP136" s="9"/>
      <c r="GQ136" s="9"/>
      <c r="GR136" s="9"/>
      <c r="GS136" s="9"/>
      <c r="GT136" s="9"/>
      <c r="GU136" s="9"/>
      <c r="GV136" s="9"/>
      <c r="GW136" s="9"/>
      <c r="GX136" s="9"/>
      <c r="GY136" s="9"/>
      <c r="GZ136" s="9"/>
      <c r="HA136" s="9"/>
      <c r="HB136" s="9"/>
      <c r="HC136" s="9"/>
      <c r="HD136" s="9"/>
      <c r="HE136" s="9"/>
      <c r="HF136" s="9"/>
      <c r="HG136" s="9"/>
      <c r="HH136" s="9"/>
      <c r="HI136" s="9"/>
      <c r="HJ136" s="9"/>
      <c r="HK136" s="9"/>
      <c r="HL136" s="9"/>
      <c r="HM136" s="9"/>
      <c r="HN136" s="9"/>
      <c r="HO136" s="9"/>
      <c r="HP136" s="9"/>
      <c r="HQ136" s="9"/>
      <c r="HR136" s="9"/>
      <c r="HS136" s="9"/>
      <c r="HT136" s="9"/>
      <c r="HU136" s="9"/>
      <c r="HV136" s="9"/>
      <c r="HW136" s="9"/>
      <c r="HX136" s="9"/>
      <c r="HY136" s="9"/>
      <c r="HZ136" s="9"/>
      <c r="IA136" s="9"/>
      <c r="IB136" s="9"/>
      <c r="IC136" s="9"/>
      <c r="ID136" s="9"/>
      <c r="IE136" s="9"/>
      <c r="IF136" s="9"/>
      <c r="IG136" s="9"/>
      <c r="IH136" s="9"/>
      <c r="II136" s="9"/>
      <c r="KW136" s="9"/>
      <c r="KX136" s="9"/>
    </row>
    <row r="137" s="9" customFormat="1" customHeight="1" spans="1:310">
      <c r="A137" s="28">
        <v>45931</v>
      </c>
      <c r="B137" s="29" t="s">
        <v>1022</v>
      </c>
      <c r="C137" s="30" t="s">
        <v>1007</v>
      </c>
      <c r="D137" s="30" t="s">
        <v>134</v>
      </c>
      <c r="E137" s="30" t="s">
        <v>678</v>
      </c>
      <c r="F137" s="31" t="s">
        <v>2014</v>
      </c>
      <c r="G137" s="31" t="s">
        <v>2015</v>
      </c>
      <c r="H137" s="30">
        <v>10</v>
      </c>
      <c r="I137" s="30">
        <v>2021</v>
      </c>
      <c r="J137" s="30" t="s">
        <v>2016</v>
      </c>
      <c r="K137" s="30" t="s">
        <v>1160</v>
      </c>
      <c r="L137" s="30">
        <v>1</v>
      </c>
      <c r="M137" s="29" t="s">
        <v>1013</v>
      </c>
      <c r="N137" s="29" t="s">
        <v>1014</v>
      </c>
      <c r="O137" s="30">
        <v>99</v>
      </c>
      <c r="P137" s="30" t="s">
        <v>1018</v>
      </c>
      <c r="Q137" s="30" t="s">
        <v>1018</v>
      </c>
      <c r="R137" s="30" t="s">
        <v>1039</v>
      </c>
      <c r="S137" s="60">
        <v>835.79</v>
      </c>
      <c r="T137" s="29">
        <f>295/4</f>
        <v>73.75</v>
      </c>
      <c r="U137" s="29">
        <v>2025.1</v>
      </c>
      <c r="V137" s="33">
        <f t="shared" si="2"/>
        <v>0.0882398688665813</v>
      </c>
      <c r="W137" s="74">
        <f>25400/(99*295)</f>
        <v>0.869714090053073</v>
      </c>
      <c r="X137" s="74" t="s">
        <v>2017</v>
      </c>
      <c r="Y137" s="30" t="s">
        <v>1018</v>
      </c>
      <c r="Z137" s="30" t="s">
        <v>2018</v>
      </c>
      <c r="AA137" s="30" t="s">
        <v>1183</v>
      </c>
      <c r="AB137" s="30" t="s">
        <v>2019</v>
      </c>
      <c r="AC137" s="30" t="s">
        <v>2020</v>
      </c>
      <c r="AD137" s="30" t="s">
        <v>1018</v>
      </c>
      <c r="AE137" s="30"/>
      <c r="AF137" s="30"/>
      <c r="AG137" s="30" t="s">
        <v>2021</v>
      </c>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10"/>
      <c r="EU137" s="10"/>
      <c r="EV137" s="10"/>
      <c r="EW137" s="10"/>
      <c r="EX137" s="10"/>
      <c r="EY137" s="10"/>
      <c r="EZ137" s="10"/>
      <c r="FA137" s="10"/>
      <c r="FB137" s="10"/>
      <c r="FC137" s="10"/>
      <c r="FD137" s="10"/>
      <c r="FE137" s="10"/>
      <c r="FF137" s="10"/>
      <c r="FG137" s="10"/>
      <c r="FH137" s="10"/>
      <c r="FI137" s="10"/>
      <c r="FJ137" s="10"/>
      <c r="FK137" s="10"/>
      <c r="FL137" s="10"/>
      <c r="FM137" s="10"/>
      <c r="FN137" s="10"/>
      <c r="FO137" s="10"/>
      <c r="FP137" s="10"/>
      <c r="FQ137" s="10"/>
      <c r="FR137" s="10"/>
      <c r="FS137" s="10"/>
      <c r="FT137" s="10"/>
      <c r="FU137" s="10"/>
      <c r="FV137" s="10"/>
      <c r="FW137" s="10"/>
      <c r="FX137" s="10"/>
      <c r="FY137" s="10"/>
      <c r="FZ137" s="10"/>
      <c r="GA137" s="10"/>
      <c r="GB137" s="10"/>
      <c r="GC137" s="10"/>
      <c r="GD137" s="10"/>
      <c r="GE137" s="10"/>
      <c r="GF137" s="10"/>
      <c r="GG137" s="10"/>
      <c r="GH137" s="10"/>
      <c r="GI137" s="10"/>
      <c r="GJ137" s="10"/>
      <c r="GK137" s="10"/>
      <c r="GL137" s="10"/>
      <c r="GM137" s="10"/>
      <c r="GN137" s="10"/>
      <c r="GO137" s="10"/>
      <c r="GP137" s="10"/>
      <c r="GQ137" s="10"/>
      <c r="GR137" s="10"/>
      <c r="GS137" s="10"/>
      <c r="GT137" s="10"/>
      <c r="GU137" s="10"/>
      <c r="GV137" s="10"/>
      <c r="GW137" s="10"/>
      <c r="GX137" s="10"/>
      <c r="GY137" s="10"/>
      <c r="GZ137" s="10"/>
      <c r="HA137" s="10"/>
      <c r="HB137" s="10"/>
      <c r="HC137" s="10"/>
      <c r="HD137" s="10"/>
      <c r="HE137" s="10"/>
      <c r="HF137" s="10"/>
      <c r="HG137" s="10"/>
      <c r="HH137" s="10"/>
      <c r="HI137" s="10"/>
      <c r="HJ137" s="10"/>
      <c r="HK137" s="10"/>
      <c r="HL137" s="10"/>
      <c r="HM137" s="10"/>
      <c r="HN137" s="10"/>
      <c r="HO137" s="10"/>
      <c r="HP137" s="10"/>
      <c r="HQ137" s="10"/>
      <c r="HR137" s="10"/>
      <c r="HS137" s="10"/>
      <c r="HT137" s="10"/>
      <c r="HU137" s="10"/>
      <c r="HV137" s="10"/>
      <c r="HW137" s="10"/>
      <c r="HX137" s="10"/>
      <c r="HY137" s="10"/>
      <c r="HZ137" s="10"/>
      <c r="IA137" s="10"/>
      <c r="IB137" s="10"/>
      <c r="IC137" s="10"/>
      <c r="ID137" s="10"/>
      <c r="IE137" s="10"/>
      <c r="IF137" s="10"/>
      <c r="IG137" s="10"/>
      <c r="IH137" s="10"/>
    </row>
    <row r="138" s="10" customFormat="1" customHeight="1" spans="1:310">
      <c r="A138" s="28">
        <v>45931</v>
      </c>
      <c r="B138" s="29" t="s">
        <v>1022</v>
      </c>
      <c r="C138" s="30" t="s">
        <v>1007</v>
      </c>
      <c r="D138" s="30" t="s">
        <v>134</v>
      </c>
      <c r="E138" s="30" t="s">
        <v>678</v>
      </c>
      <c r="F138" s="31" t="s">
        <v>2022</v>
      </c>
      <c r="G138" s="31" t="s">
        <v>2023</v>
      </c>
      <c r="H138" s="30">
        <v>10</v>
      </c>
      <c r="I138" s="30">
        <v>2021</v>
      </c>
      <c r="J138" s="30" t="s">
        <v>1978</v>
      </c>
      <c r="K138" s="30" t="s">
        <v>2024</v>
      </c>
      <c r="L138" s="30">
        <v>1</v>
      </c>
      <c r="M138" s="29" t="s">
        <v>1013</v>
      </c>
      <c r="N138" s="29" t="s">
        <v>1014</v>
      </c>
      <c r="O138" s="30">
        <v>99</v>
      </c>
      <c r="P138" s="30" t="s">
        <v>1018</v>
      </c>
      <c r="Q138" s="30" t="s">
        <v>1016</v>
      </c>
      <c r="R138" s="30" t="s">
        <v>1039</v>
      </c>
      <c r="S138" s="60">
        <v>219.35</v>
      </c>
      <c r="T138" s="29">
        <v>42.98</v>
      </c>
      <c r="U138" s="29">
        <v>2024.03</v>
      </c>
      <c r="V138" s="33">
        <f t="shared" si="2"/>
        <v>0.195942557556417</v>
      </c>
      <c r="W138" s="34">
        <v>0.911</v>
      </c>
      <c r="X138" s="34"/>
      <c r="Y138" s="30" t="s">
        <v>1018</v>
      </c>
      <c r="Z138" s="30" t="s">
        <v>2025</v>
      </c>
      <c r="AA138" s="30" t="s">
        <v>1183</v>
      </c>
      <c r="AB138" s="61">
        <v>0.12</v>
      </c>
      <c r="AC138" s="30" t="s">
        <v>1204</v>
      </c>
      <c r="AD138" s="30" t="s">
        <v>1018</v>
      </c>
      <c r="AE138" s="30"/>
      <c r="AF138" s="30"/>
      <c r="AG138" s="41" t="s">
        <v>1081</v>
      </c>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c r="DN138" s="9"/>
      <c r="DO138" s="9"/>
      <c r="DP138" s="9"/>
      <c r="DQ138" s="9"/>
      <c r="DR138" s="9"/>
      <c r="DS138" s="9"/>
      <c r="DT138" s="9"/>
      <c r="DU138" s="9"/>
      <c r="DV138" s="9"/>
      <c r="DW138" s="9"/>
      <c r="DX138" s="9"/>
      <c r="DY138" s="9"/>
      <c r="DZ138" s="9"/>
      <c r="EA138" s="9"/>
      <c r="EB138" s="9"/>
      <c r="EC138" s="9"/>
      <c r="ED138" s="9"/>
      <c r="EE138" s="9"/>
      <c r="EF138" s="9"/>
      <c r="EG138" s="9"/>
      <c r="EH138" s="9"/>
      <c r="EI138" s="9"/>
      <c r="EJ138" s="9"/>
      <c r="EK138" s="9"/>
      <c r="EL138" s="9"/>
      <c r="EM138" s="9"/>
      <c r="EN138" s="9"/>
      <c r="EO138" s="9"/>
      <c r="EP138" s="9"/>
      <c r="EQ138" s="9"/>
      <c r="ER138" s="9"/>
      <c r="ES138" s="9"/>
      <c r="ET138" s="9"/>
      <c r="EU138" s="9"/>
      <c r="EV138" s="9"/>
      <c r="EW138" s="9"/>
      <c r="EX138" s="9"/>
      <c r="EY138" s="9"/>
      <c r="EZ138" s="9"/>
      <c r="FA138" s="9"/>
      <c r="FB138" s="9"/>
      <c r="FC138" s="9"/>
      <c r="FD138" s="9"/>
      <c r="FE138" s="9"/>
      <c r="FF138" s="9"/>
      <c r="FG138" s="9"/>
      <c r="FH138" s="9"/>
      <c r="FI138" s="9"/>
      <c r="FJ138" s="9"/>
      <c r="FK138" s="9"/>
      <c r="FL138" s="9"/>
      <c r="FM138" s="9"/>
      <c r="FN138" s="9"/>
      <c r="FO138" s="9"/>
      <c r="FP138" s="9"/>
      <c r="FQ138" s="9"/>
      <c r="FR138" s="9"/>
      <c r="FS138" s="9"/>
      <c r="FT138" s="9"/>
      <c r="FU138" s="9"/>
      <c r="FV138" s="9"/>
      <c r="FW138" s="9"/>
      <c r="FX138" s="9"/>
      <c r="FY138" s="9"/>
      <c r="FZ138" s="9"/>
      <c r="GA138" s="9"/>
      <c r="GB138" s="9"/>
      <c r="GC138" s="9"/>
      <c r="GD138" s="9"/>
      <c r="GE138" s="9"/>
      <c r="GF138" s="9"/>
      <c r="GG138" s="9"/>
      <c r="GH138" s="9"/>
      <c r="GI138" s="9"/>
      <c r="GJ138" s="9"/>
      <c r="GK138" s="9"/>
      <c r="GL138" s="9"/>
      <c r="GM138" s="9"/>
      <c r="GN138" s="9"/>
      <c r="GO138" s="9"/>
      <c r="GP138" s="9"/>
      <c r="GQ138" s="9"/>
      <c r="GR138" s="9"/>
      <c r="GS138" s="9"/>
      <c r="GT138" s="9"/>
      <c r="GU138" s="9"/>
      <c r="GV138" s="9"/>
      <c r="GW138" s="9"/>
      <c r="GX138" s="9"/>
      <c r="GY138" s="9"/>
      <c r="GZ138" s="9"/>
      <c r="HA138" s="9"/>
      <c r="HB138" s="9"/>
      <c r="HC138" s="9"/>
      <c r="HD138" s="9"/>
      <c r="HE138" s="9"/>
      <c r="HF138" s="9"/>
      <c r="HG138" s="9"/>
      <c r="HH138" s="9"/>
      <c r="HI138" s="9"/>
      <c r="HJ138" s="9"/>
      <c r="HK138" s="9"/>
      <c r="HL138" s="9"/>
      <c r="HM138" s="9"/>
      <c r="HN138" s="9"/>
      <c r="HO138" s="9"/>
      <c r="HP138" s="9"/>
      <c r="HQ138" s="9"/>
      <c r="HR138" s="9"/>
      <c r="HS138" s="9"/>
      <c r="HT138" s="9"/>
      <c r="HU138" s="9"/>
      <c r="HV138" s="9"/>
      <c r="HW138" s="9"/>
      <c r="HX138" s="9"/>
      <c r="HY138" s="9"/>
      <c r="HZ138" s="9"/>
      <c r="IA138" s="9"/>
      <c r="IB138" s="9"/>
      <c r="IC138" s="9"/>
      <c r="ID138" s="9"/>
      <c r="IE138" s="9"/>
      <c r="IF138" s="9"/>
      <c r="IG138" s="9"/>
      <c r="IH138" s="9"/>
      <c r="II138" s="9"/>
      <c r="IJ138" s="9"/>
      <c r="IK138" s="9"/>
      <c r="IL138" s="9"/>
      <c r="IM138" s="9"/>
      <c r="IN138" s="9"/>
      <c r="IO138" s="9"/>
      <c r="IP138" s="9"/>
      <c r="IQ138" s="9"/>
      <c r="IR138" s="9"/>
      <c r="IS138" s="9"/>
      <c r="IT138" s="9"/>
      <c r="IU138" s="9"/>
      <c r="IV138" s="9"/>
      <c r="IW138" s="9"/>
      <c r="IX138" s="9"/>
      <c r="IY138" s="9"/>
      <c r="IZ138" s="9"/>
      <c r="JA138" s="9"/>
      <c r="JB138" s="9"/>
      <c r="JC138" s="9"/>
      <c r="JD138" s="9"/>
      <c r="JE138" s="9"/>
      <c r="JF138" s="9"/>
      <c r="JG138" s="9"/>
      <c r="JH138" s="9"/>
      <c r="JI138" s="9"/>
      <c r="JJ138" s="9"/>
      <c r="JK138" s="9"/>
      <c r="JL138" s="9"/>
      <c r="JM138" s="9"/>
      <c r="JN138" s="9"/>
      <c r="JO138" s="9"/>
      <c r="JP138" s="9"/>
      <c r="JQ138" s="9"/>
      <c r="JR138" s="9"/>
      <c r="JS138" s="9"/>
      <c r="JT138" s="9"/>
      <c r="JU138" s="9"/>
      <c r="JV138" s="9"/>
      <c r="JW138" s="9"/>
      <c r="JX138" s="9"/>
      <c r="JY138" s="9"/>
      <c r="JZ138" s="9"/>
      <c r="KA138" s="9"/>
      <c r="KB138" s="9"/>
      <c r="KC138" s="9"/>
      <c r="KD138" s="9"/>
      <c r="KE138" s="9"/>
      <c r="KF138" s="9"/>
      <c r="KG138" s="9"/>
      <c r="KH138" s="9"/>
      <c r="KI138" s="9"/>
      <c r="KJ138" s="9"/>
      <c r="KK138" s="9"/>
      <c r="KL138" s="9"/>
      <c r="KM138" s="9"/>
      <c r="KN138" s="9"/>
      <c r="KO138" s="9"/>
      <c r="KP138" s="9"/>
      <c r="KQ138" s="9"/>
      <c r="KR138" s="9"/>
      <c r="KS138" s="9"/>
      <c r="KT138" s="9"/>
      <c r="KU138" s="9"/>
      <c r="KV138" s="9"/>
      <c r="KW138" s="12"/>
      <c r="KX138" s="12"/>
    </row>
    <row r="139" s="11" customFormat="1" customHeight="1" spans="1:310">
      <c r="A139" s="28">
        <v>45931</v>
      </c>
      <c r="B139" s="29" t="s">
        <v>1022</v>
      </c>
      <c r="C139" s="37" t="s">
        <v>1023</v>
      </c>
      <c r="D139" s="37" t="s">
        <v>1047</v>
      </c>
      <c r="E139" s="37" t="s">
        <v>1598</v>
      </c>
      <c r="F139" s="31" t="s">
        <v>1598</v>
      </c>
      <c r="G139" s="31" t="s">
        <v>2026</v>
      </c>
      <c r="H139" s="37">
        <v>10</v>
      </c>
      <c r="I139" s="37">
        <v>2023</v>
      </c>
      <c r="J139" s="37" t="s">
        <v>1696</v>
      </c>
      <c r="K139" s="29" t="s">
        <v>1012</v>
      </c>
      <c r="L139" s="37">
        <v>1</v>
      </c>
      <c r="M139" s="29" t="s">
        <v>1013</v>
      </c>
      <c r="N139" s="29" t="s">
        <v>1014</v>
      </c>
      <c r="O139" s="37" t="s">
        <v>2027</v>
      </c>
      <c r="P139" s="37" t="s">
        <v>1018</v>
      </c>
      <c r="Q139" s="37" t="s">
        <v>1018</v>
      </c>
      <c r="R139" s="37" t="s">
        <v>1039</v>
      </c>
      <c r="S139" s="37">
        <v>3956</v>
      </c>
      <c r="T139" s="37">
        <v>370</v>
      </c>
      <c r="U139" s="37">
        <v>2024.08</v>
      </c>
      <c r="V139" s="102">
        <f t="shared" si="2"/>
        <v>0.0935288169868554</v>
      </c>
      <c r="W139" s="103">
        <v>0.9333</v>
      </c>
      <c r="X139" s="103" t="s">
        <v>2028</v>
      </c>
      <c r="Y139" s="37" t="s">
        <v>1018</v>
      </c>
      <c r="Z139" s="37" t="s">
        <v>1302</v>
      </c>
      <c r="AA139" s="37" t="s">
        <v>2029</v>
      </c>
      <c r="AB139" s="37" t="s">
        <v>2030</v>
      </c>
      <c r="AC139" s="37" t="s">
        <v>2031</v>
      </c>
      <c r="AD139" s="37" t="s">
        <v>1018</v>
      </c>
      <c r="AE139" s="91" t="s">
        <v>2032</v>
      </c>
      <c r="AF139" s="92" t="s">
        <v>1018</v>
      </c>
      <c r="AG139" s="3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04"/>
      <c r="BI139" s="104"/>
      <c r="BJ139" s="104"/>
      <c r="BK139" s="104"/>
      <c r="BL139" s="104"/>
      <c r="BM139" s="104"/>
      <c r="BN139" s="104"/>
      <c r="BO139" s="104"/>
      <c r="BP139" s="104"/>
      <c r="BQ139" s="104"/>
      <c r="BR139" s="104"/>
      <c r="BS139" s="104"/>
      <c r="BT139" s="104"/>
      <c r="BU139" s="104"/>
      <c r="BV139" s="104"/>
      <c r="BW139" s="104"/>
      <c r="BX139" s="104"/>
      <c r="BY139" s="104"/>
      <c r="BZ139" s="104"/>
      <c r="CA139" s="104"/>
      <c r="CB139" s="104"/>
      <c r="CC139" s="104"/>
      <c r="CD139" s="104"/>
      <c r="CE139" s="104"/>
      <c r="CF139" s="104"/>
      <c r="CG139" s="104"/>
      <c r="CH139" s="104"/>
      <c r="CI139" s="104"/>
      <c r="CJ139" s="104"/>
      <c r="CK139" s="104"/>
      <c r="CL139" s="104"/>
      <c r="CM139" s="104"/>
      <c r="CN139" s="104"/>
      <c r="CO139" s="104"/>
      <c r="CP139" s="104"/>
      <c r="CQ139" s="104"/>
      <c r="CR139" s="104"/>
      <c r="CS139" s="104"/>
      <c r="CT139" s="104"/>
      <c r="CU139" s="104"/>
      <c r="CV139" s="104"/>
      <c r="CW139" s="104"/>
      <c r="CX139" s="104"/>
      <c r="CY139" s="104"/>
      <c r="CZ139" s="104"/>
      <c r="DA139" s="104"/>
      <c r="DB139" s="104"/>
      <c r="DC139" s="104"/>
      <c r="DD139" s="104"/>
      <c r="DE139" s="104"/>
      <c r="DF139" s="104"/>
      <c r="DG139" s="104"/>
      <c r="DH139" s="104"/>
      <c r="DI139" s="104"/>
      <c r="DJ139" s="104"/>
      <c r="DK139" s="104"/>
      <c r="DL139" s="104"/>
      <c r="DM139" s="104"/>
      <c r="DN139" s="104"/>
      <c r="DO139" s="104"/>
      <c r="DP139" s="104"/>
      <c r="DQ139" s="104"/>
      <c r="DR139" s="104"/>
      <c r="DS139" s="104"/>
      <c r="DT139" s="104"/>
      <c r="DU139" s="104"/>
      <c r="DV139" s="104"/>
      <c r="DW139" s="104"/>
      <c r="DX139" s="104"/>
      <c r="DY139" s="104"/>
      <c r="DZ139" s="104"/>
      <c r="EA139" s="104"/>
      <c r="EB139" s="104"/>
      <c r="EC139" s="104"/>
      <c r="ED139" s="104"/>
      <c r="EE139" s="104"/>
      <c r="EF139" s="104"/>
      <c r="EG139" s="104"/>
      <c r="EH139" s="104"/>
      <c r="EI139" s="104"/>
      <c r="EJ139" s="104"/>
      <c r="EK139" s="104"/>
      <c r="EL139" s="104"/>
      <c r="EM139" s="104"/>
      <c r="EN139" s="104"/>
      <c r="EO139" s="104"/>
      <c r="EP139" s="104"/>
      <c r="EQ139" s="104"/>
      <c r="ER139" s="104"/>
      <c r="ES139" s="104"/>
      <c r="ET139" s="104"/>
      <c r="EU139" s="104"/>
      <c r="EV139" s="104"/>
      <c r="EW139" s="104"/>
      <c r="EX139" s="104"/>
      <c r="EY139" s="104"/>
      <c r="EZ139" s="104"/>
      <c r="FA139" s="104"/>
      <c r="FB139" s="104"/>
      <c r="FC139" s="104"/>
      <c r="FD139" s="104"/>
      <c r="FE139" s="104"/>
      <c r="FF139" s="104"/>
      <c r="FG139" s="104"/>
      <c r="FH139" s="104"/>
      <c r="FI139" s="104"/>
      <c r="FJ139" s="104"/>
      <c r="FK139" s="104"/>
      <c r="FL139" s="104"/>
      <c r="FM139" s="104"/>
      <c r="FN139" s="104"/>
      <c r="FO139" s="104"/>
      <c r="FP139" s="104"/>
      <c r="FQ139" s="104"/>
      <c r="FR139" s="104"/>
      <c r="FS139" s="104"/>
      <c r="FT139" s="104"/>
      <c r="FU139" s="104"/>
      <c r="FV139" s="104"/>
      <c r="FW139" s="104"/>
      <c r="FX139" s="104"/>
      <c r="FY139" s="104"/>
      <c r="FZ139" s="104"/>
      <c r="GA139" s="104"/>
      <c r="GB139" s="104"/>
      <c r="GC139" s="104"/>
      <c r="GD139" s="104"/>
      <c r="GE139" s="104"/>
      <c r="GF139" s="104"/>
      <c r="GG139" s="104"/>
      <c r="GH139" s="104"/>
      <c r="GI139" s="104"/>
      <c r="GJ139" s="104"/>
      <c r="GK139" s="104"/>
      <c r="GL139" s="104"/>
      <c r="GM139" s="104"/>
      <c r="GN139" s="104"/>
      <c r="GO139" s="104"/>
      <c r="GP139" s="104"/>
      <c r="GQ139" s="104"/>
      <c r="GR139" s="104"/>
      <c r="GS139" s="104"/>
      <c r="GT139" s="104"/>
      <c r="GU139" s="104"/>
      <c r="GV139" s="104"/>
      <c r="GW139" s="104"/>
      <c r="GX139" s="104"/>
      <c r="GY139" s="104"/>
      <c r="GZ139" s="104"/>
      <c r="HA139" s="104"/>
      <c r="HB139" s="104"/>
      <c r="HC139" s="104"/>
      <c r="HD139" s="104"/>
      <c r="HE139" s="104"/>
      <c r="HF139" s="104"/>
      <c r="HG139" s="104"/>
      <c r="HH139" s="104"/>
      <c r="HI139" s="104"/>
      <c r="HJ139" s="104"/>
      <c r="HK139" s="104"/>
      <c r="HL139" s="104"/>
      <c r="HM139" s="104"/>
      <c r="HN139" s="104"/>
      <c r="HO139" s="104"/>
      <c r="HP139" s="104"/>
      <c r="HQ139" s="104"/>
      <c r="HR139" s="104"/>
      <c r="HS139" s="104"/>
      <c r="HT139" s="104"/>
      <c r="HU139" s="104"/>
      <c r="HV139" s="104"/>
      <c r="HW139" s="104"/>
      <c r="HX139" s="104"/>
      <c r="HY139" s="104"/>
      <c r="HZ139" s="104"/>
      <c r="IA139" s="104"/>
      <c r="IB139" s="104"/>
      <c r="IC139" s="104"/>
      <c r="ID139" s="104"/>
      <c r="IE139" s="104"/>
      <c r="IF139" s="104"/>
      <c r="IG139" s="104"/>
      <c r="IH139" s="104"/>
      <c r="II139" s="17"/>
      <c r="IJ139" s="9"/>
      <c r="IK139" s="9"/>
      <c r="IL139" s="9"/>
      <c r="IM139" s="9"/>
      <c r="IN139" s="9"/>
      <c r="IO139" s="9"/>
      <c r="IP139" s="9"/>
      <c r="IQ139" s="9"/>
      <c r="IR139" s="9"/>
      <c r="IS139" s="9"/>
      <c r="IT139" s="9"/>
      <c r="IU139" s="9"/>
      <c r="IV139" s="9"/>
      <c r="IW139" s="9"/>
      <c r="IX139" s="9"/>
      <c r="IY139" s="9"/>
      <c r="IZ139" s="9"/>
      <c r="JA139" s="9"/>
      <c r="JB139" s="9"/>
      <c r="JC139" s="9"/>
      <c r="JD139" s="9"/>
      <c r="JE139" s="9"/>
      <c r="JF139" s="9"/>
      <c r="JG139" s="9"/>
      <c r="JH139" s="9"/>
      <c r="JI139" s="9"/>
      <c r="JJ139" s="9"/>
      <c r="JK139" s="9"/>
      <c r="JL139" s="9"/>
      <c r="JM139" s="9"/>
      <c r="JN139" s="9"/>
      <c r="JO139" s="9"/>
      <c r="JP139" s="9"/>
      <c r="JQ139" s="9"/>
      <c r="JR139" s="9"/>
      <c r="JS139" s="9"/>
      <c r="JT139" s="9"/>
      <c r="JU139" s="9"/>
      <c r="JV139" s="9"/>
      <c r="JW139" s="9"/>
      <c r="JX139" s="9"/>
      <c r="JY139" s="9"/>
      <c r="JZ139" s="9"/>
      <c r="KA139" s="9"/>
      <c r="KB139" s="9"/>
      <c r="KC139" s="9"/>
      <c r="KD139" s="9"/>
      <c r="KE139" s="9"/>
      <c r="KF139" s="9"/>
      <c r="KG139" s="9"/>
      <c r="KH139" s="9"/>
      <c r="KI139" s="9"/>
      <c r="KJ139" s="9"/>
      <c r="KK139" s="9"/>
      <c r="KL139" s="9"/>
      <c r="KM139" s="9"/>
      <c r="KN139" s="9"/>
      <c r="KO139" s="9"/>
      <c r="KP139" s="9"/>
      <c r="KQ139" s="9"/>
      <c r="KR139" s="9"/>
      <c r="KS139" s="9"/>
      <c r="KT139" s="9"/>
      <c r="KU139" s="9"/>
      <c r="KV139" s="9"/>
      <c r="KW139" s="10"/>
      <c r="KX139" s="10"/>
    </row>
    <row r="140" s="11" customFormat="1" customHeight="1" spans="1:310">
      <c r="A140" s="28">
        <v>45931</v>
      </c>
      <c r="B140" s="32" t="s">
        <v>1022</v>
      </c>
      <c r="C140" s="49" t="s">
        <v>1023</v>
      </c>
      <c r="D140" s="49" t="s">
        <v>134</v>
      </c>
      <c r="E140" s="49" t="s">
        <v>561</v>
      </c>
      <c r="F140" s="42" t="s">
        <v>2033</v>
      </c>
      <c r="G140" s="31" t="s">
        <v>2034</v>
      </c>
      <c r="H140" s="49">
        <v>10</v>
      </c>
      <c r="I140" s="49">
        <v>2020</v>
      </c>
      <c r="J140" s="49" t="s">
        <v>1957</v>
      </c>
      <c r="K140" s="49" t="s">
        <v>1012</v>
      </c>
      <c r="L140" s="32">
        <v>1</v>
      </c>
      <c r="M140" s="29" t="s">
        <v>1013</v>
      </c>
      <c r="N140" s="29" t="s">
        <v>1014</v>
      </c>
      <c r="O140" s="49" t="s">
        <v>2035</v>
      </c>
      <c r="P140" s="49" t="s">
        <v>1018</v>
      </c>
      <c r="Q140" s="49" t="s">
        <v>1018</v>
      </c>
      <c r="R140" s="49" t="s">
        <v>1017</v>
      </c>
      <c r="S140" s="32">
        <v>458.88</v>
      </c>
      <c r="T140" s="32"/>
      <c r="U140" s="32"/>
      <c r="V140" s="33"/>
      <c r="W140" s="49"/>
      <c r="X140" s="49"/>
      <c r="Y140" s="49" t="s">
        <v>1018</v>
      </c>
      <c r="Z140" s="49" t="s">
        <v>2036</v>
      </c>
      <c r="AA140" s="49" t="s">
        <v>2037</v>
      </c>
      <c r="AB140" s="96" t="s">
        <v>2038</v>
      </c>
      <c r="AC140" s="49" t="s">
        <v>37</v>
      </c>
      <c r="AD140" s="32" t="s">
        <v>1018</v>
      </c>
      <c r="AE140" s="32"/>
      <c r="AF140" s="32"/>
      <c r="AG140" s="49"/>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10"/>
      <c r="EU140" s="10"/>
      <c r="EV140" s="10"/>
      <c r="EW140" s="10"/>
      <c r="EX140" s="10"/>
      <c r="EY140" s="10"/>
      <c r="EZ140" s="10"/>
      <c r="FA140" s="10"/>
      <c r="FB140" s="10"/>
      <c r="FC140" s="10"/>
      <c r="FD140" s="10"/>
      <c r="FE140" s="10"/>
      <c r="FF140" s="10"/>
      <c r="FG140" s="10"/>
      <c r="FH140" s="10"/>
      <c r="FI140" s="10"/>
      <c r="FJ140" s="10"/>
      <c r="FK140" s="10"/>
      <c r="FL140" s="10"/>
      <c r="FM140" s="10"/>
      <c r="FN140" s="10"/>
      <c r="FO140" s="10"/>
      <c r="FP140" s="10"/>
      <c r="FQ140" s="10"/>
      <c r="FR140" s="10"/>
      <c r="FS140" s="10"/>
      <c r="FT140" s="10"/>
      <c r="FU140" s="10"/>
      <c r="FV140" s="10"/>
      <c r="FW140" s="10"/>
      <c r="FX140" s="10"/>
      <c r="FY140" s="10"/>
      <c r="FZ140" s="10"/>
      <c r="GA140" s="10"/>
      <c r="GB140" s="10"/>
      <c r="GC140" s="10"/>
      <c r="GD140" s="10"/>
      <c r="GE140" s="10"/>
      <c r="GF140" s="10"/>
      <c r="GG140" s="10"/>
      <c r="GH140" s="10"/>
      <c r="GI140" s="10"/>
      <c r="GJ140" s="10"/>
      <c r="GK140" s="10"/>
      <c r="GL140" s="10"/>
      <c r="GM140" s="10"/>
      <c r="GN140" s="10"/>
      <c r="GO140" s="10"/>
      <c r="GP140" s="10"/>
      <c r="GQ140" s="10"/>
      <c r="GR140" s="10"/>
      <c r="GS140" s="10"/>
      <c r="GT140" s="10"/>
      <c r="GU140" s="10"/>
      <c r="GV140" s="10"/>
      <c r="GW140" s="10"/>
      <c r="GX140" s="10"/>
      <c r="GY140" s="10"/>
      <c r="GZ140" s="10"/>
      <c r="HA140" s="10"/>
      <c r="HB140" s="10"/>
      <c r="HC140" s="10"/>
      <c r="HD140" s="10"/>
      <c r="HE140" s="10"/>
      <c r="HF140" s="10"/>
      <c r="HG140" s="10"/>
      <c r="HH140" s="10"/>
      <c r="HI140" s="10"/>
      <c r="HJ140" s="10"/>
      <c r="HK140" s="10"/>
      <c r="HL140" s="10"/>
      <c r="HM140" s="10"/>
      <c r="HN140" s="10"/>
      <c r="HO140" s="10"/>
      <c r="HP140" s="10"/>
      <c r="HQ140" s="10"/>
      <c r="HR140" s="10"/>
      <c r="HS140" s="10"/>
      <c r="HT140" s="10"/>
      <c r="HU140" s="10"/>
      <c r="HV140" s="10"/>
      <c r="HW140" s="10"/>
      <c r="HX140" s="10"/>
      <c r="HY140" s="10"/>
      <c r="HZ140" s="10"/>
      <c r="IA140" s="10"/>
      <c r="IB140" s="10"/>
      <c r="IC140" s="10"/>
      <c r="ID140" s="10"/>
      <c r="IE140" s="10"/>
      <c r="IF140" s="10"/>
      <c r="IG140" s="10"/>
      <c r="IH140" s="10"/>
      <c r="II140" s="10"/>
      <c r="IJ140" s="10"/>
      <c r="IK140" s="10"/>
      <c r="IL140" s="10"/>
      <c r="IM140" s="10"/>
      <c r="IN140" s="10"/>
      <c r="IO140" s="10"/>
      <c r="IP140" s="10"/>
      <c r="IQ140" s="10"/>
      <c r="IR140" s="10"/>
      <c r="IS140" s="10"/>
      <c r="IT140" s="10"/>
      <c r="IU140" s="10"/>
      <c r="IV140" s="10"/>
      <c r="IW140" s="10"/>
      <c r="IX140" s="10"/>
      <c r="IY140" s="10"/>
      <c r="IZ140" s="10"/>
      <c r="JA140" s="10"/>
      <c r="JB140" s="10"/>
      <c r="JC140" s="10"/>
      <c r="JD140" s="10"/>
      <c r="JE140" s="10"/>
      <c r="JF140" s="10"/>
      <c r="JG140" s="10"/>
      <c r="JH140" s="10"/>
      <c r="JI140" s="10"/>
      <c r="JJ140" s="10"/>
      <c r="JK140" s="10"/>
      <c r="JL140" s="10"/>
      <c r="JM140" s="10"/>
      <c r="JN140" s="10"/>
      <c r="JO140" s="10"/>
      <c r="JP140" s="10"/>
      <c r="JQ140" s="10"/>
      <c r="JR140" s="10"/>
      <c r="JS140" s="10"/>
      <c r="JT140" s="10"/>
      <c r="JU140" s="10"/>
      <c r="JV140" s="10"/>
      <c r="JW140" s="10"/>
      <c r="JX140" s="10"/>
      <c r="JY140" s="10"/>
      <c r="JZ140" s="10"/>
      <c r="KA140" s="10"/>
      <c r="KB140" s="10"/>
      <c r="KC140" s="10"/>
      <c r="KD140" s="10"/>
      <c r="KE140" s="10"/>
      <c r="KF140" s="10"/>
      <c r="KG140" s="10"/>
      <c r="KH140" s="10"/>
      <c r="KI140" s="10"/>
      <c r="KJ140" s="10"/>
      <c r="KK140" s="10"/>
      <c r="KL140" s="10"/>
      <c r="KM140" s="10"/>
      <c r="KN140" s="10"/>
      <c r="KO140" s="10"/>
      <c r="KP140" s="10"/>
      <c r="KQ140" s="10"/>
      <c r="KR140" s="10"/>
      <c r="KS140" s="10"/>
      <c r="KT140" s="10"/>
      <c r="KU140" s="10"/>
      <c r="KV140" s="10"/>
      <c r="KW140" s="9"/>
      <c r="KX140" s="9"/>
    </row>
    <row r="141" s="11" customFormat="1" customHeight="1" spans="1:310">
      <c r="A141" s="28">
        <v>45931</v>
      </c>
      <c r="B141" s="29" t="s">
        <v>1022</v>
      </c>
      <c r="C141" s="32" t="s">
        <v>1023</v>
      </c>
      <c r="D141" s="32" t="s">
        <v>134</v>
      </c>
      <c r="E141" s="32" t="s">
        <v>561</v>
      </c>
      <c r="F141" s="31" t="s">
        <v>595</v>
      </c>
      <c r="G141" s="31" t="s">
        <v>2039</v>
      </c>
      <c r="H141" s="30">
        <v>10</v>
      </c>
      <c r="I141" s="32">
        <v>2021</v>
      </c>
      <c r="J141" s="30" t="s">
        <v>1943</v>
      </c>
      <c r="K141" s="30" t="s">
        <v>1012</v>
      </c>
      <c r="L141" s="32">
        <v>1</v>
      </c>
      <c r="M141" s="29" t="s">
        <v>1013</v>
      </c>
      <c r="N141" s="29" t="s">
        <v>1014</v>
      </c>
      <c r="O141" s="32">
        <v>99</v>
      </c>
      <c r="P141" s="32" t="s">
        <v>1016</v>
      </c>
      <c r="Q141" s="32" t="s">
        <v>1018</v>
      </c>
      <c r="R141" s="32" t="s">
        <v>1017</v>
      </c>
      <c r="S141" s="37">
        <v>345.6</v>
      </c>
      <c r="T141" s="38">
        <v>30</v>
      </c>
      <c r="U141" s="32">
        <v>2024.11</v>
      </c>
      <c r="V141" s="33"/>
      <c r="W141" s="39"/>
      <c r="X141" s="39"/>
      <c r="Y141" s="32" t="s">
        <v>1018</v>
      </c>
      <c r="Z141" s="32" t="s">
        <v>2040</v>
      </c>
      <c r="AA141" s="32" t="s">
        <v>2041</v>
      </c>
      <c r="AB141" s="40" t="s">
        <v>2042</v>
      </c>
      <c r="AC141" s="32" t="s">
        <v>2043</v>
      </c>
      <c r="AD141" s="32" t="s">
        <v>1018</v>
      </c>
      <c r="AE141" s="32" t="s">
        <v>2044</v>
      </c>
      <c r="AF141" s="32"/>
      <c r="AG141" s="32" t="s">
        <v>2045</v>
      </c>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c r="DN141" s="9"/>
      <c r="DO141" s="9"/>
      <c r="DP141" s="9"/>
      <c r="DQ141" s="9"/>
      <c r="DR141" s="9"/>
      <c r="DS141" s="9"/>
      <c r="DT141" s="9"/>
      <c r="DU141" s="9"/>
      <c r="DV141" s="9"/>
      <c r="DW141" s="9"/>
      <c r="DX141" s="9"/>
      <c r="DY141" s="9"/>
      <c r="DZ141" s="9"/>
      <c r="EA141" s="9"/>
      <c r="EB141" s="9"/>
      <c r="EC141" s="9"/>
      <c r="ED141" s="9"/>
      <c r="EE141" s="9"/>
      <c r="EF141" s="9"/>
      <c r="EG141" s="9"/>
      <c r="EH141" s="9"/>
      <c r="EI141" s="9"/>
      <c r="EJ141" s="9"/>
      <c r="EK141" s="9"/>
      <c r="EL141" s="9"/>
      <c r="EM141" s="9"/>
      <c r="EN141" s="9"/>
      <c r="EO141" s="9"/>
      <c r="EP141" s="9"/>
      <c r="EQ141" s="9"/>
      <c r="ER141" s="9"/>
      <c r="ES141" s="9"/>
      <c r="ET141" s="9"/>
      <c r="EU141" s="9"/>
      <c r="EV141" s="9"/>
      <c r="EW141" s="9"/>
      <c r="EX141" s="9"/>
      <c r="EY141" s="9"/>
      <c r="EZ141" s="9"/>
      <c r="FA141" s="9"/>
      <c r="FB141" s="9"/>
      <c r="FC141" s="9"/>
      <c r="FD141" s="9"/>
      <c r="FE141" s="9"/>
      <c r="FF141" s="9"/>
      <c r="FG141" s="9"/>
      <c r="FH141" s="9"/>
      <c r="FI141" s="9"/>
      <c r="FJ141" s="9"/>
      <c r="FK141" s="9"/>
      <c r="FL141" s="9"/>
      <c r="FM141" s="9"/>
      <c r="FN141" s="9"/>
      <c r="FO141" s="9"/>
      <c r="FP141" s="9"/>
      <c r="FQ141" s="9"/>
      <c r="FR141" s="9"/>
      <c r="FS141" s="9"/>
      <c r="FT141" s="9"/>
      <c r="FU141" s="9"/>
      <c r="FV141" s="9"/>
      <c r="FW141" s="9"/>
      <c r="FX141" s="9"/>
      <c r="FY141" s="9"/>
      <c r="FZ141" s="9"/>
      <c r="GA141" s="9"/>
      <c r="GB141" s="9"/>
      <c r="GC141" s="9"/>
      <c r="GD141" s="9"/>
      <c r="GE141" s="9"/>
      <c r="GF141" s="9"/>
      <c r="GG141" s="9"/>
      <c r="GH141" s="9"/>
      <c r="GI141" s="9"/>
      <c r="GJ141" s="9"/>
      <c r="GK141" s="9"/>
      <c r="GL141" s="9"/>
      <c r="GM141" s="9"/>
      <c r="GN141" s="9"/>
      <c r="GO141" s="9"/>
      <c r="GP141" s="9"/>
      <c r="GQ141" s="9"/>
      <c r="GR141" s="9"/>
      <c r="GS141" s="9"/>
      <c r="GT141" s="9"/>
      <c r="GU141" s="9"/>
      <c r="GV141" s="9"/>
      <c r="GW141" s="9"/>
      <c r="GX141" s="9"/>
      <c r="GY141" s="9"/>
      <c r="GZ141" s="9"/>
      <c r="HA141" s="9"/>
      <c r="HB141" s="9"/>
      <c r="HC141" s="9"/>
      <c r="HD141" s="9"/>
      <c r="HE141" s="9"/>
      <c r="HF141" s="9"/>
      <c r="HG141" s="9"/>
      <c r="HH141" s="9"/>
      <c r="HI141" s="9"/>
      <c r="HJ141" s="9"/>
      <c r="HK141" s="9"/>
      <c r="HL141" s="9"/>
      <c r="HM141" s="9"/>
      <c r="HN141" s="9"/>
      <c r="HO141" s="9"/>
      <c r="HP141" s="9"/>
      <c r="HQ141" s="9"/>
      <c r="HR141" s="9"/>
      <c r="HS141" s="9"/>
      <c r="HT141" s="9"/>
      <c r="HU141" s="9"/>
      <c r="HV141" s="9"/>
      <c r="HW141" s="9"/>
      <c r="HX141" s="9"/>
      <c r="HY141" s="9"/>
      <c r="HZ141" s="9"/>
      <c r="IA141" s="9"/>
      <c r="IB141" s="9"/>
      <c r="IC141" s="9"/>
      <c r="ID141" s="9"/>
      <c r="IE141" s="9"/>
      <c r="IF141" s="9"/>
      <c r="IG141" s="9"/>
      <c r="IH141" s="9"/>
      <c r="IJ141" s="21"/>
      <c r="IK141" s="21"/>
      <c r="IL141" s="21"/>
      <c r="IM141" s="21"/>
      <c r="IN141" s="21"/>
      <c r="IO141" s="21"/>
      <c r="IP141" s="21"/>
      <c r="IQ141" s="21"/>
      <c r="IR141" s="21"/>
      <c r="IS141" s="21"/>
      <c r="IT141" s="21"/>
      <c r="IU141" s="21"/>
      <c r="IV141" s="21"/>
      <c r="IW141" s="21"/>
      <c r="IX141" s="21"/>
      <c r="IY141" s="21"/>
      <c r="IZ141" s="21"/>
      <c r="JA141" s="21"/>
      <c r="JB141" s="21"/>
      <c r="JC141" s="21"/>
      <c r="JD141" s="21"/>
      <c r="JE141" s="21"/>
      <c r="JF141" s="21"/>
      <c r="JG141" s="21"/>
      <c r="JH141" s="21"/>
      <c r="JI141" s="21"/>
      <c r="JJ141" s="21"/>
      <c r="JK141" s="21"/>
      <c r="JL141" s="21"/>
      <c r="JM141" s="21"/>
      <c r="JN141" s="21"/>
      <c r="JO141" s="21"/>
      <c r="JP141" s="21"/>
      <c r="JQ141" s="21"/>
      <c r="JR141" s="21"/>
      <c r="JS141" s="21"/>
      <c r="JT141" s="21"/>
      <c r="JU141" s="21"/>
      <c r="JV141" s="21"/>
      <c r="JW141" s="21"/>
      <c r="JX141" s="21"/>
      <c r="JY141" s="21"/>
      <c r="JZ141" s="21"/>
      <c r="KA141" s="21"/>
      <c r="KB141" s="21"/>
      <c r="KC141" s="21"/>
      <c r="KD141" s="21"/>
      <c r="KE141" s="21"/>
      <c r="KF141" s="21"/>
      <c r="KG141" s="21"/>
      <c r="KH141" s="21"/>
      <c r="KI141" s="21"/>
      <c r="KJ141" s="21"/>
      <c r="KK141" s="21"/>
      <c r="KL141" s="21"/>
      <c r="KM141" s="21"/>
      <c r="KN141" s="21"/>
      <c r="KO141" s="21"/>
      <c r="KP141" s="21"/>
      <c r="KQ141" s="21"/>
      <c r="KR141" s="21"/>
      <c r="KS141" s="21"/>
      <c r="KT141" s="21"/>
      <c r="KU141" s="21"/>
      <c r="KV141" s="21"/>
    </row>
    <row r="142" s="11" customFormat="1" customHeight="1" spans="1:310">
      <c r="A142" s="28">
        <v>45931</v>
      </c>
      <c r="B142" s="29" t="s">
        <v>1022</v>
      </c>
      <c r="C142" s="29" t="s">
        <v>1007</v>
      </c>
      <c r="D142" s="29" t="s">
        <v>1215</v>
      </c>
      <c r="E142" s="29" t="s">
        <v>80</v>
      </c>
      <c r="F142" s="49" t="s">
        <v>80</v>
      </c>
      <c r="G142" s="49" t="s">
        <v>2046</v>
      </c>
      <c r="H142" s="29">
        <v>10</v>
      </c>
      <c r="I142" s="29">
        <v>2022</v>
      </c>
      <c r="J142" s="29" t="s">
        <v>2047</v>
      </c>
      <c r="K142" s="29" t="s">
        <v>2024</v>
      </c>
      <c r="L142" s="29">
        <v>10</v>
      </c>
      <c r="M142" s="29" t="s">
        <v>1976</v>
      </c>
      <c r="N142" s="29" t="s">
        <v>2048</v>
      </c>
      <c r="O142" s="29" t="s">
        <v>2049</v>
      </c>
      <c r="P142" s="29" t="s">
        <v>1018</v>
      </c>
      <c r="Q142" s="29" t="s">
        <v>1018</v>
      </c>
      <c r="R142" s="29" t="s">
        <v>1017</v>
      </c>
      <c r="S142" s="29">
        <v>1300</v>
      </c>
      <c r="T142" s="29">
        <v>570</v>
      </c>
      <c r="U142" s="29">
        <v>2025.12</v>
      </c>
      <c r="V142" s="46">
        <f>570/1300</f>
        <v>0.438461538461538</v>
      </c>
      <c r="W142" s="29"/>
      <c r="X142" s="29"/>
      <c r="Y142" s="29" t="s">
        <v>1018</v>
      </c>
      <c r="Z142" s="29" t="s">
        <v>2050</v>
      </c>
      <c r="AA142" s="29" t="s">
        <v>2051</v>
      </c>
      <c r="AB142" s="29" t="s">
        <v>1095</v>
      </c>
      <c r="AC142" s="29" t="s">
        <v>2052</v>
      </c>
      <c r="AD142" s="29" t="s">
        <v>1018</v>
      </c>
      <c r="AE142" s="83" t="s">
        <v>134</v>
      </c>
      <c r="AF142" s="83" t="s">
        <v>1018</v>
      </c>
      <c r="AG142" s="29" t="s">
        <v>2053</v>
      </c>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c r="DX142" s="9"/>
      <c r="DY142" s="9"/>
      <c r="DZ142" s="9"/>
      <c r="EA142" s="9"/>
      <c r="EB142" s="9"/>
      <c r="EC142" s="9"/>
      <c r="ED142" s="9"/>
      <c r="EE142" s="9"/>
      <c r="EF142" s="9"/>
      <c r="EG142" s="9"/>
      <c r="EH142" s="9"/>
      <c r="EI142" s="9"/>
      <c r="EJ142" s="9"/>
      <c r="EK142" s="9"/>
      <c r="EL142" s="9"/>
      <c r="EM142" s="9"/>
      <c r="EN142" s="9"/>
      <c r="EO142" s="9"/>
      <c r="EP142" s="9"/>
      <c r="EQ142" s="9"/>
      <c r="ER142" s="9"/>
      <c r="ES142" s="9"/>
      <c r="ET142" s="9"/>
      <c r="EU142" s="9"/>
      <c r="EV142" s="9"/>
      <c r="EW142" s="9"/>
      <c r="EX142" s="9"/>
      <c r="EY142" s="9"/>
      <c r="EZ142" s="9"/>
      <c r="FA142" s="9"/>
      <c r="FB142" s="9"/>
      <c r="FC142" s="9"/>
      <c r="FD142" s="9"/>
      <c r="FE142" s="9"/>
      <c r="FF142" s="9"/>
      <c r="FG142" s="9"/>
      <c r="FH142" s="9"/>
      <c r="FI142" s="9"/>
      <c r="FJ142" s="9"/>
      <c r="FK142" s="9"/>
      <c r="FL142" s="9"/>
      <c r="FM142" s="9"/>
      <c r="FN142" s="9"/>
      <c r="FO142" s="9"/>
      <c r="FP142" s="9"/>
      <c r="FQ142" s="9"/>
      <c r="FR142" s="9"/>
      <c r="FS142" s="9"/>
      <c r="FT142" s="9"/>
      <c r="FU142" s="9"/>
      <c r="FV142" s="9"/>
      <c r="FW142" s="9"/>
      <c r="FX142" s="9"/>
      <c r="FY142" s="9"/>
      <c r="FZ142" s="9"/>
      <c r="GA142" s="9"/>
      <c r="GB142" s="9"/>
      <c r="GC142" s="9"/>
      <c r="GD142" s="9"/>
      <c r="GE142" s="9"/>
      <c r="GF142" s="9"/>
      <c r="GG142" s="9"/>
      <c r="GH142" s="9"/>
      <c r="GI142" s="9"/>
      <c r="GJ142" s="9"/>
      <c r="GK142" s="9"/>
      <c r="GL142" s="9"/>
      <c r="GM142" s="9"/>
      <c r="GN142" s="9"/>
      <c r="GO142" s="9"/>
      <c r="GP142" s="9"/>
      <c r="GQ142" s="9"/>
      <c r="GR142" s="9"/>
      <c r="GS142" s="9"/>
      <c r="GT142" s="9"/>
      <c r="GU142" s="9"/>
      <c r="GV142" s="9"/>
      <c r="GW142" s="9"/>
      <c r="GX142" s="9"/>
      <c r="GY142" s="9"/>
      <c r="GZ142" s="9"/>
      <c r="HA142" s="9"/>
      <c r="HB142" s="9"/>
      <c r="HC142" s="9"/>
      <c r="HD142" s="9"/>
      <c r="HE142" s="9"/>
      <c r="HF142" s="9"/>
      <c r="HG142" s="9"/>
      <c r="HH142" s="9"/>
      <c r="HI142" s="9"/>
      <c r="HJ142" s="9"/>
      <c r="HK142" s="9"/>
      <c r="HL142" s="9"/>
      <c r="HM142" s="9"/>
      <c r="HN142" s="9"/>
      <c r="HO142" s="9"/>
      <c r="HP142" s="9"/>
      <c r="HQ142" s="9"/>
      <c r="HR142" s="9"/>
      <c r="HS142" s="9"/>
      <c r="HT142" s="9"/>
      <c r="HU142" s="9"/>
      <c r="HV142" s="9"/>
      <c r="HW142" s="9"/>
      <c r="HX142" s="9"/>
      <c r="HY142" s="9"/>
      <c r="HZ142" s="9"/>
      <c r="IA142" s="9"/>
      <c r="IB142" s="9"/>
      <c r="IC142" s="9"/>
      <c r="ID142" s="9"/>
      <c r="IE142" s="9"/>
      <c r="IF142" s="9"/>
      <c r="IG142" s="9"/>
      <c r="IH142" s="9"/>
      <c r="II142" s="9"/>
      <c r="IJ142" s="9"/>
      <c r="IK142" s="9"/>
      <c r="IL142" s="9"/>
      <c r="IM142" s="9"/>
      <c r="IN142" s="9"/>
      <c r="IO142" s="9"/>
      <c r="IP142" s="9"/>
      <c r="IQ142" s="9"/>
      <c r="IR142" s="9"/>
      <c r="IS142" s="9"/>
      <c r="IT142" s="9"/>
      <c r="IU142" s="9"/>
      <c r="IV142" s="9"/>
      <c r="IW142" s="9"/>
      <c r="IX142" s="9"/>
      <c r="IY142" s="9"/>
      <c r="IZ142" s="9"/>
      <c r="JA142" s="9"/>
      <c r="JB142" s="9"/>
      <c r="JC142" s="9"/>
      <c r="JD142" s="9"/>
      <c r="JE142" s="9"/>
      <c r="JF142" s="9"/>
      <c r="JG142" s="9"/>
      <c r="JH142" s="9"/>
      <c r="JI142" s="9"/>
      <c r="JJ142" s="9"/>
      <c r="JK142" s="9"/>
      <c r="JL142" s="9"/>
      <c r="JM142" s="9"/>
      <c r="JN142" s="9"/>
      <c r="JO142" s="9"/>
      <c r="JP142" s="9"/>
      <c r="JQ142" s="9"/>
      <c r="JR142" s="9"/>
      <c r="JS142" s="9"/>
      <c r="JT142" s="9"/>
      <c r="JU142" s="9"/>
      <c r="JV142" s="9"/>
      <c r="JW142" s="9"/>
      <c r="JX142" s="9"/>
      <c r="JY142" s="9"/>
      <c r="JZ142" s="9"/>
      <c r="KA142" s="9"/>
      <c r="KB142" s="9"/>
      <c r="KC142" s="9"/>
      <c r="KD142" s="9"/>
      <c r="KE142" s="9"/>
      <c r="KF142" s="9"/>
      <c r="KG142" s="9"/>
      <c r="KH142" s="9"/>
      <c r="KI142" s="9"/>
      <c r="KJ142" s="9"/>
      <c r="KK142" s="9"/>
      <c r="KL142" s="9"/>
      <c r="KM142" s="9"/>
      <c r="KN142" s="9"/>
      <c r="KO142" s="9"/>
      <c r="KP142" s="9"/>
      <c r="KQ142" s="9"/>
      <c r="KR142" s="9"/>
      <c r="KS142" s="9"/>
      <c r="KT142" s="9"/>
      <c r="KU142" s="9"/>
      <c r="KV142" s="9"/>
      <c r="KW142" s="9"/>
      <c r="KX142" s="9"/>
    </row>
    <row r="143" s="10" customFormat="1" customHeight="1" spans="1:310">
      <c r="A143" s="28">
        <v>45931</v>
      </c>
      <c r="B143" s="32" t="s">
        <v>1006</v>
      </c>
      <c r="C143" s="29" t="s">
        <v>1023</v>
      </c>
      <c r="D143" s="52" t="s">
        <v>134</v>
      </c>
      <c r="E143" s="52" t="s">
        <v>924</v>
      </c>
      <c r="F143" s="42" t="s">
        <v>2054</v>
      </c>
      <c r="G143" s="31" t="s">
        <v>2055</v>
      </c>
      <c r="H143" s="51">
        <v>10</v>
      </c>
      <c r="I143" s="52">
        <v>2025</v>
      </c>
      <c r="J143" s="49" t="s">
        <v>2004</v>
      </c>
      <c r="K143" s="49" t="s">
        <v>1012</v>
      </c>
      <c r="L143" s="52">
        <v>1</v>
      </c>
      <c r="M143" s="29" t="s">
        <v>1013</v>
      </c>
      <c r="N143" s="29" t="s">
        <v>1014</v>
      </c>
      <c r="O143" s="52" t="s">
        <v>2056</v>
      </c>
      <c r="P143" s="52" t="s">
        <v>1018</v>
      </c>
      <c r="Q143" s="49" t="s">
        <v>1018</v>
      </c>
      <c r="R143" s="52"/>
      <c r="S143" s="52">
        <v>53</v>
      </c>
      <c r="T143" s="52"/>
      <c r="U143" s="52"/>
      <c r="V143" s="54"/>
      <c r="W143" s="97"/>
      <c r="X143" s="52"/>
      <c r="Y143" s="52"/>
      <c r="Z143" s="52" t="s">
        <v>2057</v>
      </c>
      <c r="AA143" s="52" t="s">
        <v>2058</v>
      </c>
      <c r="AB143" s="52" t="s">
        <v>2059</v>
      </c>
      <c r="AC143" s="52" t="s">
        <v>37</v>
      </c>
      <c r="AD143" s="52" t="s">
        <v>1030</v>
      </c>
      <c r="AE143" s="52"/>
      <c r="AF143" s="52"/>
      <c r="AG143" s="41" t="s">
        <v>2060</v>
      </c>
      <c r="AH143" s="98"/>
      <c r="AI143" s="98"/>
      <c r="AJ143" s="98"/>
      <c r="AK143" s="98"/>
      <c r="AL143" s="98"/>
      <c r="AM143" s="98"/>
      <c r="AN143" s="98"/>
      <c r="AO143" s="98"/>
      <c r="AP143" s="98"/>
      <c r="AQ143" s="98"/>
      <c r="AR143" s="98"/>
      <c r="AS143" s="98"/>
      <c r="AT143" s="98"/>
      <c r="AU143" s="98"/>
      <c r="AV143" s="98"/>
      <c r="AW143" s="98"/>
      <c r="AX143" s="98"/>
      <c r="AY143" s="98"/>
      <c r="AZ143" s="98"/>
      <c r="BA143" s="98"/>
      <c r="BB143" s="98"/>
      <c r="BC143" s="98"/>
      <c r="BD143" s="98"/>
      <c r="BE143" s="98"/>
      <c r="BF143" s="98"/>
      <c r="BG143" s="98"/>
      <c r="BH143" s="98"/>
      <c r="BI143" s="98"/>
      <c r="BJ143" s="98"/>
      <c r="BK143" s="98"/>
      <c r="BL143" s="98"/>
      <c r="BM143" s="98"/>
      <c r="BN143" s="98"/>
      <c r="BO143" s="98"/>
      <c r="BP143" s="98"/>
      <c r="BQ143" s="98"/>
      <c r="BR143" s="98"/>
      <c r="BS143" s="98"/>
      <c r="BT143" s="98"/>
      <c r="BU143" s="98"/>
      <c r="BV143" s="98"/>
      <c r="BW143" s="98"/>
      <c r="BX143" s="98"/>
      <c r="BY143" s="98"/>
      <c r="BZ143" s="98"/>
      <c r="CA143" s="98"/>
      <c r="CB143" s="98"/>
      <c r="CC143" s="98"/>
      <c r="CD143" s="98"/>
      <c r="CE143" s="98"/>
      <c r="CF143" s="98"/>
      <c r="CG143" s="98"/>
      <c r="CH143" s="98"/>
      <c r="CI143" s="98"/>
      <c r="CJ143" s="98"/>
      <c r="CK143" s="98"/>
      <c r="CL143" s="98"/>
      <c r="CM143" s="98"/>
      <c r="CN143" s="98"/>
      <c r="CO143" s="98"/>
      <c r="CP143" s="98"/>
      <c r="CQ143" s="98"/>
      <c r="CR143" s="98"/>
      <c r="CS143" s="98"/>
      <c r="CT143" s="98"/>
      <c r="CU143" s="98"/>
      <c r="CV143" s="98"/>
      <c r="CW143" s="98"/>
      <c r="CX143" s="98"/>
      <c r="CY143" s="98"/>
      <c r="CZ143" s="98"/>
      <c r="DA143" s="98"/>
      <c r="DB143" s="98"/>
      <c r="DC143" s="98"/>
      <c r="DD143" s="98"/>
      <c r="DE143" s="98"/>
      <c r="DF143" s="98"/>
      <c r="DG143" s="98"/>
      <c r="DH143" s="98"/>
      <c r="DI143" s="98"/>
      <c r="DJ143" s="98"/>
      <c r="DK143" s="98"/>
      <c r="DL143" s="98"/>
      <c r="DM143" s="98"/>
      <c r="DN143" s="98"/>
      <c r="DO143" s="98"/>
      <c r="DP143" s="98"/>
      <c r="DQ143" s="98"/>
      <c r="DR143" s="98"/>
      <c r="DS143" s="98"/>
      <c r="DT143" s="98"/>
      <c r="DU143" s="98"/>
      <c r="DV143" s="98"/>
      <c r="DW143" s="98"/>
      <c r="DX143" s="98"/>
      <c r="DY143" s="98"/>
      <c r="DZ143" s="98"/>
      <c r="EA143" s="98"/>
      <c r="EB143" s="98"/>
      <c r="EC143" s="98"/>
      <c r="ED143" s="98"/>
      <c r="EE143" s="98"/>
      <c r="EF143" s="98"/>
      <c r="EG143" s="98"/>
      <c r="EH143" s="98"/>
      <c r="EI143" s="98"/>
      <c r="EJ143" s="98"/>
      <c r="EK143" s="98"/>
      <c r="EL143" s="98"/>
      <c r="EM143" s="98"/>
      <c r="EN143" s="98"/>
      <c r="EO143" s="98"/>
      <c r="EP143" s="98"/>
      <c r="EQ143" s="98"/>
      <c r="ER143" s="98"/>
      <c r="ES143" s="98"/>
      <c r="ET143" s="98"/>
      <c r="EU143" s="98"/>
      <c r="EV143" s="98"/>
      <c r="EW143" s="98"/>
      <c r="EX143" s="98"/>
      <c r="EY143" s="98"/>
      <c r="EZ143" s="98"/>
      <c r="FA143" s="98"/>
      <c r="FB143" s="98"/>
      <c r="FC143" s="98"/>
      <c r="FD143" s="98"/>
      <c r="FE143" s="98"/>
      <c r="FF143" s="98"/>
      <c r="FG143" s="98"/>
      <c r="FH143" s="98"/>
      <c r="FI143" s="98"/>
      <c r="FJ143" s="98"/>
      <c r="FK143" s="98"/>
      <c r="FL143" s="98"/>
      <c r="FM143" s="98"/>
      <c r="FN143" s="98"/>
      <c r="FO143" s="98"/>
      <c r="FP143" s="98"/>
      <c r="FQ143" s="98"/>
      <c r="FR143" s="98"/>
      <c r="FS143" s="98"/>
      <c r="FT143" s="98"/>
      <c r="FU143" s="98"/>
      <c r="FV143" s="98"/>
      <c r="FW143" s="98"/>
      <c r="FX143" s="98"/>
      <c r="FY143" s="98"/>
      <c r="FZ143" s="98"/>
      <c r="GA143" s="98"/>
      <c r="GB143" s="98"/>
      <c r="GC143" s="98"/>
      <c r="GD143" s="98"/>
      <c r="GE143" s="98"/>
      <c r="GF143" s="98"/>
      <c r="GG143" s="98"/>
      <c r="GH143" s="98"/>
      <c r="GI143" s="98"/>
      <c r="GJ143" s="98"/>
      <c r="GK143" s="98"/>
      <c r="GL143" s="98"/>
      <c r="GM143" s="98"/>
      <c r="GN143" s="98"/>
      <c r="GO143" s="98"/>
      <c r="GP143" s="98"/>
      <c r="GQ143" s="98"/>
      <c r="GR143" s="98"/>
      <c r="GS143" s="98"/>
      <c r="GT143" s="98"/>
      <c r="GU143" s="98"/>
      <c r="GV143" s="98"/>
      <c r="GW143" s="98"/>
      <c r="GX143" s="98"/>
      <c r="GY143" s="98"/>
      <c r="GZ143" s="98"/>
      <c r="HA143" s="98"/>
      <c r="HB143" s="98"/>
      <c r="HC143" s="98"/>
      <c r="HD143" s="98"/>
      <c r="HE143" s="98"/>
      <c r="HF143" s="98"/>
      <c r="HG143" s="98"/>
      <c r="HH143" s="98"/>
      <c r="HI143" s="98"/>
      <c r="HJ143" s="98"/>
      <c r="HK143" s="98"/>
      <c r="HL143" s="98"/>
      <c r="HM143" s="98"/>
      <c r="HN143" s="98"/>
      <c r="HO143" s="98"/>
      <c r="HP143" s="98"/>
      <c r="HQ143" s="98"/>
      <c r="HR143" s="98"/>
      <c r="HS143" s="98"/>
      <c r="HT143" s="98"/>
      <c r="HU143" s="98"/>
      <c r="HV143" s="98"/>
      <c r="HW143" s="98"/>
      <c r="HX143" s="98"/>
      <c r="HY143" s="98"/>
      <c r="HZ143" s="98"/>
      <c r="IA143" s="98"/>
      <c r="IB143" s="98"/>
      <c r="IC143" s="98"/>
      <c r="ID143" s="98"/>
      <c r="IE143" s="98"/>
      <c r="IF143" s="98"/>
      <c r="IG143" s="98"/>
      <c r="IH143" s="98"/>
      <c r="II143" s="9"/>
      <c r="IJ143" s="9"/>
      <c r="IK143" s="9"/>
      <c r="IL143" s="9"/>
      <c r="IM143" s="9"/>
      <c r="IN143" s="9"/>
      <c r="IO143" s="9"/>
      <c r="IP143" s="9"/>
      <c r="IQ143" s="9"/>
      <c r="IR143" s="9"/>
      <c r="IS143" s="9"/>
      <c r="IT143" s="9"/>
      <c r="IU143" s="9"/>
      <c r="IV143" s="9"/>
      <c r="IW143" s="9"/>
      <c r="IX143" s="9"/>
      <c r="IY143" s="9"/>
      <c r="IZ143" s="9"/>
      <c r="JA143" s="9"/>
      <c r="JB143" s="9"/>
      <c r="JC143" s="9"/>
      <c r="JD143" s="9"/>
      <c r="JE143" s="9"/>
      <c r="JF143" s="9"/>
      <c r="JG143" s="9"/>
      <c r="JH143" s="9"/>
      <c r="JI143" s="9"/>
      <c r="JJ143" s="9"/>
      <c r="JK143" s="9"/>
      <c r="JL143" s="9"/>
      <c r="JM143" s="9"/>
      <c r="JN143" s="9"/>
      <c r="JO143" s="9"/>
      <c r="JP143" s="9"/>
      <c r="JQ143" s="9"/>
      <c r="JR143" s="9"/>
      <c r="JS143" s="9"/>
      <c r="JT143" s="9"/>
      <c r="JU143" s="9"/>
      <c r="JV143" s="9"/>
      <c r="JW143" s="9"/>
      <c r="JX143" s="9"/>
      <c r="JY143" s="9"/>
      <c r="JZ143" s="9"/>
      <c r="KA143" s="9"/>
      <c r="KB143" s="9"/>
      <c r="KC143" s="9"/>
      <c r="KD143" s="9"/>
      <c r="KE143" s="9"/>
      <c r="KF143" s="9"/>
      <c r="KG143" s="9"/>
      <c r="KH143" s="9"/>
      <c r="KI143" s="9"/>
      <c r="KJ143" s="9"/>
      <c r="KK143" s="9"/>
      <c r="KL143" s="9"/>
      <c r="KM143" s="9"/>
      <c r="KN143" s="9"/>
      <c r="KO143" s="9"/>
      <c r="KP143" s="9"/>
      <c r="KQ143" s="9"/>
      <c r="KR143" s="9"/>
      <c r="KS143" s="9"/>
      <c r="KT143" s="9"/>
      <c r="KU143" s="9"/>
      <c r="KV143" s="9"/>
      <c r="KW143" s="9"/>
      <c r="KX143" s="9"/>
    </row>
    <row r="144" s="11" customFormat="1" customHeight="1" spans="1:310">
      <c r="A144" s="28">
        <v>45931</v>
      </c>
      <c r="B144" s="29" t="s">
        <v>1022</v>
      </c>
      <c r="C144" s="29" t="s">
        <v>1023</v>
      </c>
      <c r="D144" s="30" t="s">
        <v>134</v>
      </c>
      <c r="E144" s="30" t="s">
        <v>924</v>
      </c>
      <c r="F144" s="31" t="s">
        <v>2061</v>
      </c>
      <c r="G144" s="31" t="s">
        <v>2062</v>
      </c>
      <c r="H144" s="30">
        <v>10</v>
      </c>
      <c r="I144" s="29">
        <v>2022</v>
      </c>
      <c r="J144" s="30" t="s">
        <v>1696</v>
      </c>
      <c r="K144" s="29" t="s">
        <v>1012</v>
      </c>
      <c r="L144" s="30">
        <v>1</v>
      </c>
      <c r="M144" s="29" t="s">
        <v>1013</v>
      </c>
      <c r="N144" s="29" t="s">
        <v>1014</v>
      </c>
      <c r="O144" s="30" t="s">
        <v>2063</v>
      </c>
      <c r="P144" s="30" t="s">
        <v>1018</v>
      </c>
      <c r="Q144" s="30" t="s">
        <v>1018</v>
      </c>
      <c r="R144" s="30" t="s">
        <v>1017</v>
      </c>
      <c r="S144" s="51">
        <v>77.43</v>
      </c>
      <c r="T144" s="30">
        <f>49/3</f>
        <v>16.3333333333333</v>
      </c>
      <c r="U144" s="30">
        <v>2025.1</v>
      </c>
      <c r="V144" s="33">
        <f>T144/S144</f>
        <v>0.210943217529812</v>
      </c>
      <c r="W144" s="74"/>
      <c r="X144" s="74" t="s">
        <v>2064</v>
      </c>
      <c r="Y144" s="30" t="s">
        <v>1018</v>
      </c>
      <c r="Z144" s="30" t="s">
        <v>1426</v>
      </c>
      <c r="AA144" s="30" t="s">
        <v>1202</v>
      </c>
      <c r="AB144" s="30" t="s">
        <v>2065</v>
      </c>
      <c r="AC144" s="30" t="s">
        <v>1185</v>
      </c>
      <c r="AD144" s="30" t="s">
        <v>1018</v>
      </c>
      <c r="AE144" s="30"/>
      <c r="AF144" s="30"/>
      <c r="AG144" s="30"/>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105"/>
      <c r="BF144" s="105"/>
      <c r="BG144" s="105"/>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c r="DN144" s="9"/>
      <c r="DO144" s="9"/>
      <c r="DP144" s="9"/>
      <c r="DQ144" s="9"/>
      <c r="DR144" s="9"/>
      <c r="DS144" s="9"/>
      <c r="DT144" s="9"/>
      <c r="DU144" s="9"/>
      <c r="DV144" s="9"/>
      <c r="DW144" s="9"/>
      <c r="DX144" s="9"/>
      <c r="DY144" s="9"/>
      <c r="DZ144" s="9"/>
      <c r="EA144" s="9"/>
      <c r="EB144" s="9"/>
      <c r="EC144" s="9"/>
      <c r="ED144" s="9"/>
      <c r="EE144" s="9"/>
      <c r="EF144" s="9"/>
      <c r="EG144" s="9"/>
      <c r="EH144" s="9"/>
      <c r="EI144" s="9"/>
      <c r="EJ144" s="9"/>
      <c r="EK144" s="9"/>
      <c r="EL144" s="9"/>
      <c r="EM144" s="9"/>
      <c r="EN144" s="9"/>
      <c r="EO144" s="9"/>
      <c r="EP144" s="9"/>
      <c r="EQ144" s="9"/>
      <c r="ER144" s="9"/>
      <c r="ES144" s="9"/>
      <c r="ET144" s="9"/>
      <c r="EU144" s="9"/>
      <c r="EV144" s="9"/>
      <c r="EW144" s="9"/>
      <c r="EX144" s="9"/>
      <c r="EY144" s="9"/>
      <c r="EZ144" s="9"/>
      <c r="FA144" s="9"/>
      <c r="FB144" s="9"/>
      <c r="FC144" s="9"/>
      <c r="FD144" s="9"/>
      <c r="FE144" s="9"/>
      <c r="FF144" s="9"/>
      <c r="FG144" s="9"/>
      <c r="FH144" s="9"/>
      <c r="FI144" s="9"/>
      <c r="FJ144" s="9"/>
      <c r="FK144" s="9"/>
      <c r="FL144" s="9"/>
      <c r="FM144" s="9"/>
      <c r="FN144" s="9"/>
      <c r="FO144" s="9"/>
      <c r="FP144" s="9"/>
      <c r="FQ144" s="9"/>
      <c r="FR144" s="9"/>
      <c r="FS144" s="9"/>
      <c r="FT144" s="9"/>
      <c r="FU144" s="9"/>
      <c r="FV144" s="9"/>
      <c r="FW144" s="9"/>
      <c r="FX144" s="9"/>
      <c r="FY144" s="9"/>
      <c r="FZ144" s="9"/>
      <c r="GA144" s="9"/>
      <c r="GB144" s="9"/>
      <c r="GC144" s="9"/>
      <c r="GD144" s="9"/>
      <c r="GE144" s="9"/>
      <c r="GF144" s="9"/>
      <c r="GG144" s="9"/>
      <c r="GH144" s="9"/>
      <c r="GI144" s="9"/>
      <c r="GJ144" s="9"/>
      <c r="GK144" s="9"/>
      <c r="GL144" s="9"/>
      <c r="GM144" s="9"/>
      <c r="GN144" s="9"/>
      <c r="GO144" s="9"/>
      <c r="GP144" s="9"/>
      <c r="GQ144" s="9"/>
      <c r="GR144" s="9"/>
      <c r="GS144" s="9"/>
      <c r="GT144" s="9"/>
      <c r="GU144" s="9"/>
      <c r="GV144" s="9"/>
      <c r="GW144" s="9"/>
      <c r="GX144" s="9"/>
      <c r="GY144" s="9"/>
      <c r="GZ144" s="9"/>
      <c r="HA144" s="9"/>
      <c r="HB144" s="9"/>
      <c r="HC144" s="9"/>
      <c r="HD144" s="9"/>
      <c r="HE144" s="9"/>
      <c r="HF144" s="9"/>
      <c r="HG144" s="9"/>
      <c r="HH144" s="9"/>
      <c r="HI144" s="9"/>
      <c r="HJ144" s="9"/>
      <c r="HK144" s="9"/>
      <c r="HL144" s="9"/>
      <c r="HM144" s="9"/>
      <c r="HN144" s="9"/>
      <c r="HO144" s="9"/>
      <c r="HP144" s="9"/>
      <c r="HQ144" s="9"/>
      <c r="HR144" s="9"/>
      <c r="HS144" s="9"/>
      <c r="HT144" s="9"/>
      <c r="HU144" s="9"/>
      <c r="HV144" s="9"/>
      <c r="HW144" s="9"/>
      <c r="HX144" s="9"/>
      <c r="HY144" s="9"/>
      <c r="HZ144" s="9"/>
      <c r="IA144" s="9"/>
      <c r="IB144" s="9"/>
      <c r="IC144" s="9"/>
      <c r="ID144" s="9"/>
      <c r="IE144" s="9"/>
      <c r="IF144" s="9"/>
      <c r="IG144" s="9"/>
      <c r="IH144" s="9"/>
      <c r="II144" s="9"/>
      <c r="IJ144" s="9"/>
      <c r="IK144" s="9"/>
      <c r="IL144" s="9"/>
      <c r="IM144" s="9"/>
      <c r="IN144" s="9"/>
      <c r="IO144" s="9"/>
      <c r="IP144" s="9"/>
      <c r="IQ144" s="9"/>
      <c r="IR144" s="9"/>
      <c r="IS144" s="9"/>
      <c r="IT144" s="9"/>
      <c r="IU144" s="9"/>
      <c r="IV144" s="9"/>
      <c r="IW144" s="9"/>
      <c r="IX144" s="9"/>
      <c r="IY144" s="9"/>
      <c r="IZ144" s="9"/>
      <c r="JA144" s="9"/>
      <c r="JB144" s="9"/>
      <c r="JC144" s="9"/>
      <c r="JD144" s="9"/>
      <c r="JE144" s="9"/>
      <c r="JF144" s="9"/>
      <c r="JG144" s="9"/>
      <c r="JH144" s="9"/>
      <c r="JI144" s="9"/>
      <c r="JJ144" s="9"/>
      <c r="JK144" s="9"/>
      <c r="JL144" s="9"/>
      <c r="JM144" s="9"/>
      <c r="JN144" s="9"/>
      <c r="JO144" s="9"/>
      <c r="JP144" s="9"/>
      <c r="JQ144" s="9"/>
      <c r="JR144" s="9"/>
      <c r="JS144" s="9"/>
      <c r="JT144" s="9"/>
      <c r="JU144" s="9"/>
      <c r="JV144" s="9"/>
      <c r="JW144" s="9"/>
      <c r="JX144" s="9"/>
      <c r="JY144" s="9"/>
      <c r="JZ144" s="9"/>
      <c r="KA144" s="9"/>
      <c r="KB144" s="9"/>
      <c r="KC144" s="9"/>
      <c r="KD144" s="9"/>
      <c r="KE144" s="9"/>
      <c r="KF144" s="9"/>
      <c r="KG144" s="9"/>
      <c r="KH144" s="9"/>
      <c r="KI144" s="9"/>
      <c r="KJ144" s="9"/>
      <c r="KK144" s="9"/>
      <c r="KL144" s="9"/>
      <c r="KM144" s="9"/>
      <c r="KN144" s="9"/>
      <c r="KO144" s="9"/>
      <c r="KP144" s="9"/>
      <c r="KQ144" s="9"/>
      <c r="KR144" s="9"/>
      <c r="KS144" s="9"/>
      <c r="KT144" s="9"/>
      <c r="KU144" s="9"/>
      <c r="KV144" s="9"/>
      <c r="KW144" s="9"/>
      <c r="KX144" s="9"/>
    </row>
    <row r="145" s="11" customFormat="1" customHeight="1" spans="1:310">
      <c r="A145" s="28">
        <v>45931</v>
      </c>
      <c r="B145" s="29" t="s">
        <v>1022</v>
      </c>
      <c r="C145" s="37" t="s">
        <v>1057</v>
      </c>
      <c r="D145" s="37" t="s">
        <v>1058</v>
      </c>
      <c r="E145" s="37" t="s">
        <v>219</v>
      </c>
      <c r="F145" s="31" t="s">
        <v>301</v>
      </c>
      <c r="G145" s="95" t="s">
        <v>2066</v>
      </c>
      <c r="H145" s="30">
        <v>10</v>
      </c>
      <c r="I145" s="37">
        <v>2021</v>
      </c>
      <c r="J145" s="37" t="s">
        <v>2016</v>
      </c>
      <c r="K145" s="37" t="s">
        <v>2067</v>
      </c>
      <c r="L145" s="37">
        <v>1</v>
      </c>
      <c r="M145" s="29" t="s">
        <v>1013</v>
      </c>
      <c r="N145" s="29" t="s">
        <v>1014</v>
      </c>
      <c r="O145" s="37" t="s">
        <v>2068</v>
      </c>
      <c r="P145" s="37" t="s">
        <v>1018</v>
      </c>
      <c r="Q145" s="37" t="s">
        <v>1016</v>
      </c>
      <c r="R145" s="37" t="s">
        <v>1039</v>
      </c>
      <c r="S145" s="37">
        <v>662.29</v>
      </c>
      <c r="T145" s="32">
        <v>272.7145</v>
      </c>
      <c r="U145" s="32" t="s">
        <v>2069</v>
      </c>
      <c r="V145" s="33">
        <v>0.412</v>
      </c>
      <c r="W145" s="103">
        <v>0.9424</v>
      </c>
      <c r="X145" s="37" t="s">
        <v>2070</v>
      </c>
      <c r="Y145" s="37" t="s">
        <v>1018</v>
      </c>
      <c r="Z145" s="37" t="s">
        <v>2071</v>
      </c>
      <c r="AA145" s="37" t="s">
        <v>1164</v>
      </c>
      <c r="AB145" s="37" t="s">
        <v>2072</v>
      </c>
      <c r="AC145" s="37" t="s">
        <v>2073</v>
      </c>
      <c r="AD145" s="37" t="s">
        <v>1018</v>
      </c>
      <c r="AE145" s="37" t="s">
        <v>1392</v>
      </c>
      <c r="AF145" s="37"/>
      <c r="AG145" s="37" t="s">
        <v>2074</v>
      </c>
      <c r="AH145" s="17" t="s">
        <v>1068</v>
      </c>
      <c r="AI145" s="17" t="s">
        <v>1068</v>
      </c>
      <c r="AJ145" s="17" t="s">
        <v>1068</v>
      </c>
      <c r="AK145" s="17" t="s">
        <v>1068</v>
      </c>
      <c r="AL145" s="17" t="s">
        <v>1068</v>
      </c>
      <c r="AM145" s="17" t="s">
        <v>1068</v>
      </c>
      <c r="AN145" s="17" t="s">
        <v>1068</v>
      </c>
      <c r="AO145" s="17" t="s">
        <v>1068</v>
      </c>
      <c r="AP145" s="17" t="s">
        <v>1068</v>
      </c>
      <c r="AQ145" s="17" t="s">
        <v>1068</v>
      </c>
      <c r="AR145" s="17" t="s">
        <v>1068</v>
      </c>
      <c r="AS145" s="17" t="s">
        <v>1068</v>
      </c>
      <c r="AT145" s="17" t="s">
        <v>1068</v>
      </c>
      <c r="AU145" s="17" t="s">
        <v>1068</v>
      </c>
      <c r="AV145" s="17" t="s">
        <v>1068</v>
      </c>
      <c r="AW145" s="17" t="s">
        <v>1068</v>
      </c>
      <c r="AX145" s="17" t="s">
        <v>1068</v>
      </c>
      <c r="AY145" s="17" t="s">
        <v>1068</v>
      </c>
      <c r="AZ145" s="17" t="s">
        <v>1068</v>
      </c>
      <c r="BA145" s="17" t="s">
        <v>1068</v>
      </c>
      <c r="BB145" s="17" t="s">
        <v>1068</v>
      </c>
      <c r="BC145" s="17" t="s">
        <v>1068</v>
      </c>
      <c r="BD145" s="17" t="s">
        <v>1068</v>
      </c>
      <c r="BE145" s="17" t="s">
        <v>1068</v>
      </c>
      <c r="BF145" s="17" t="s">
        <v>1068</v>
      </c>
      <c r="BG145" s="17" t="s">
        <v>1068</v>
      </c>
      <c r="BH145" s="17" t="s">
        <v>1068</v>
      </c>
      <c r="BI145" s="17" t="s">
        <v>1068</v>
      </c>
      <c r="BJ145" s="17" t="s">
        <v>1068</v>
      </c>
      <c r="BK145" s="17" t="s">
        <v>1068</v>
      </c>
      <c r="BL145" s="17" t="s">
        <v>1068</v>
      </c>
      <c r="BM145" s="17" t="s">
        <v>1068</v>
      </c>
      <c r="BN145" s="17" t="s">
        <v>1068</v>
      </c>
      <c r="BO145" s="17" t="s">
        <v>1068</v>
      </c>
      <c r="BP145" s="17" t="s">
        <v>1068</v>
      </c>
      <c r="BQ145" s="17" t="s">
        <v>1068</v>
      </c>
      <c r="BR145" s="17" t="s">
        <v>1068</v>
      </c>
      <c r="BS145" s="17" t="s">
        <v>1068</v>
      </c>
      <c r="BT145" s="17" t="s">
        <v>1068</v>
      </c>
      <c r="BU145" s="17" t="s">
        <v>1068</v>
      </c>
      <c r="BV145" s="17" t="s">
        <v>1068</v>
      </c>
      <c r="BW145" s="17" t="s">
        <v>1068</v>
      </c>
      <c r="BX145" s="17" t="s">
        <v>1068</v>
      </c>
      <c r="BY145" s="17" t="s">
        <v>1068</v>
      </c>
      <c r="BZ145" s="17" t="s">
        <v>1068</v>
      </c>
      <c r="CA145" s="17" t="s">
        <v>1068</v>
      </c>
      <c r="CB145" s="17" t="s">
        <v>1068</v>
      </c>
      <c r="CC145" s="17" t="s">
        <v>1068</v>
      </c>
      <c r="CD145" s="17" t="s">
        <v>1068</v>
      </c>
      <c r="CE145" s="17" t="s">
        <v>1068</v>
      </c>
      <c r="CF145" s="17" t="s">
        <v>1068</v>
      </c>
      <c r="CG145" s="17" t="s">
        <v>1068</v>
      </c>
      <c r="CH145" s="17" t="s">
        <v>1068</v>
      </c>
      <c r="CI145" s="17" t="s">
        <v>1068</v>
      </c>
      <c r="CJ145" s="17" t="s">
        <v>1068</v>
      </c>
      <c r="CK145" s="17" t="s">
        <v>1068</v>
      </c>
      <c r="CL145" s="17" t="s">
        <v>1068</v>
      </c>
      <c r="CM145" s="17" t="s">
        <v>1068</v>
      </c>
      <c r="CN145" s="17" t="s">
        <v>1068</v>
      </c>
      <c r="CO145" s="17" t="s">
        <v>1068</v>
      </c>
      <c r="CP145" s="17" t="s">
        <v>1068</v>
      </c>
      <c r="CQ145" s="17" t="s">
        <v>1068</v>
      </c>
      <c r="CR145" s="17" t="s">
        <v>1068</v>
      </c>
      <c r="CS145" s="17" t="s">
        <v>1068</v>
      </c>
      <c r="CT145" s="17" t="s">
        <v>1068</v>
      </c>
      <c r="CU145" s="17" t="s">
        <v>1068</v>
      </c>
      <c r="CV145" s="17" t="s">
        <v>1068</v>
      </c>
      <c r="CW145" s="17" t="s">
        <v>1068</v>
      </c>
      <c r="CX145" s="17" t="s">
        <v>1068</v>
      </c>
      <c r="CY145" s="17" t="s">
        <v>1068</v>
      </c>
      <c r="CZ145" s="17" t="s">
        <v>1068</v>
      </c>
      <c r="DA145" s="17" t="s">
        <v>1068</v>
      </c>
      <c r="DB145" s="17" t="s">
        <v>1068</v>
      </c>
      <c r="DC145" s="17" t="s">
        <v>1068</v>
      </c>
      <c r="DD145" s="17" t="s">
        <v>1068</v>
      </c>
      <c r="DE145" s="17" t="s">
        <v>1068</v>
      </c>
      <c r="DF145" s="17" t="s">
        <v>1068</v>
      </c>
      <c r="DG145" s="17" t="s">
        <v>1068</v>
      </c>
      <c r="DH145" s="17" t="s">
        <v>1068</v>
      </c>
      <c r="DI145" s="17" t="s">
        <v>1068</v>
      </c>
      <c r="DJ145" s="17" t="s">
        <v>1068</v>
      </c>
      <c r="DK145" s="17" t="s">
        <v>1068</v>
      </c>
      <c r="DL145" s="17" t="s">
        <v>1068</v>
      </c>
      <c r="DM145" s="17" t="s">
        <v>1068</v>
      </c>
      <c r="DN145" s="17" t="s">
        <v>1068</v>
      </c>
      <c r="DO145" s="17" t="s">
        <v>1068</v>
      </c>
      <c r="DP145" s="17" t="s">
        <v>1068</v>
      </c>
      <c r="DQ145" s="17" t="s">
        <v>1068</v>
      </c>
      <c r="DR145" s="17" t="s">
        <v>1068</v>
      </c>
      <c r="DS145" s="17" t="s">
        <v>1068</v>
      </c>
      <c r="DT145" s="17" t="s">
        <v>1068</v>
      </c>
      <c r="DU145" s="17" t="s">
        <v>1068</v>
      </c>
      <c r="DV145" s="17" t="s">
        <v>1068</v>
      </c>
      <c r="DW145" s="17" t="s">
        <v>1068</v>
      </c>
      <c r="DX145" s="17" t="s">
        <v>1068</v>
      </c>
      <c r="DY145" s="17" t="s">
        <v>1068</v>
      </c>
      <c r="DZ145" s="17" t="s">
        <v>1068</v>
      </c>
      <c r="EA145" s="17" t="s">
        <v>1068</v>
      </c>
      <c r="EB145" s="17" t="s">
        <v>1068</v>
      </c>
      <c r="EC145" s="17" t="s">
        <v>1068</v>
      </c>
      <c r="ED145" s="17" t="s">
        <v>1068</v>
      </c>
      <c r="EE145" s="17" t="s">
        <v>1068</v>
      </c>
      <c r="EF145" s="17" t="s">
        <v>1068</v>
      </c>
      <c r="EG145" s="17" t="s">
        <v>1068</v>
      </c>
      <c r="EH145" s="17" t="s">
        <v>1068</v>
      </c>
      <c r="EI145" s="17" t="s">
        <v>1068</v>
      </c>
      <c r="EJ145" s="17" t="s">
        <v>1068</v>
      </c>
      <c r="EK145" s="17" t="s">
        <v>1068</v>
      </c>
      <c r="EL145" s="17" t="s">
        <v>1068</v>
      </c>
      <c r="EM145" s="17" t="s">
        <v>1068</v>
      </c>
      <c r="EN145" s="17" t="s">
        <v>1068</v>
      </c>
      <c r="EO145" s="17" t="s">
        <v>1068</v>
      </c>
      <c r="EP145" s="17" t="s">
        <v>1068</v>
      </c>
      <c r="EQ145" s="17" t="s">
        <v>1068</v>
      </c>
      <c r="ER145" s="17" t="s">
        <v>1068</v>
      </c>
      <c r="ES145" s="17" t="s">
        <v>1068</v>
      </c>
      <c r="ET145" s="17" t="s">
        <v>1068</v>
      </c>
      <c r="EU145" s="17" t="s">
        <v>1068</v>
      </c>
      <c r="EV145" s="17" t="s">
        <v>1068</v>
      </c>
      <c r="EW145" s="17" t="s">
        <v>1068</v>
      </c>
      <c r="EX145" s="17" t="s">
        <v>1068</v>
      </c>
      <c r="EY145" s="17" t="s">
        <v>1068</v>
      </c>
      <c r="EZ145" s="17" t="s">
        <v>1068</v>
      </c>
      <c r="FA145" s="17" t="s">
        <v>1068</v>
      </c>
      <c r="FB145" s="17" t="s">
        <v>1068</v>
      </c>
      <c r="FC145" s="17" t="s">
        <v>1068</v>
      </c>
      <c r="FD145" s="17" t="s">
        <v>1068</v>
      </c>
      <c r="FE145" s="17" t="s">
        <v>1068</v>
      </c>
      <c r="FF145" s="17" t="s">
        <v>1068</v>
      </c>
      <c r="FG145" s="17" t="s">
        <v>1068</v>
      </c>
      <c r="FH145" s="17" t="s">
        <v>1068</v>
      </c>
      <c r="FI145" s="17" t="s">
        <v>1068</v>
      </c>
      <c r="FJ145" s="17" t="s">
        <v>1068</v>
      </c>
      <c r="FK145" s="17" t="s">
        <v>1068</v>
      </c>
      <c r="FL145" s="17" t="s">
        <v>1068</v>
      </c>
      <c r="FM145" s="17" t="s">
        <v>1068</v>
      </c>
      <c r="FN145" s="17" t="s">
        <v>1068</v>
      </c>
      <c r="FO145" s="17" t="s">
        <v>1068</v>
      </c>
      <c r="FP145" s="17" t="s">
        <v>1068</v>
      </c>
      <c r="FQ145" s="17" t="s">
        <v>1068</v>
      </c>
      <c r="FR145" s="17" t="s">
        <v>1068</v>
      </c>
      <c r="FS145" s="17" t="s">
        <v>1068</v>
      </c>
      <c r="FT145" s="17" t="s">
        <v>1068</v>
      </c>
      <c r="FU145" s="17" t="s">
        <v>1068</v>
      </c>
      <c r="FV145" s="17" t="s">
        <v>1068</v>
      </c>
      <c r="FW145" s="17" t="s">
        <v>1068</v>
      </c>
      <c r="FX145" s="17" t="s">
        <v>1068</v>
      </c>
      <c r="FY145" s="17" t="s">
        <v>1068</v>
      </c>
      <c r="FZ145" s="17" t="s">
        <v>1068</v>
      </c>
      <c r="GA145" s="17" t="s">
        <v>1068</v>
      </c>
      <c r="GB145" s="17" t="s">
        <v>1068</v>
      </c>
      <c r="GC145" s="17" t="s">
        <v>1068</v>
      </c>
      <c r="GD145" s="17" t="s">
        <v>1068</v>
      </c>
      <c r="GE145" s="17" t="s">
        <v>1068</v>
      </c>
      <c r="GF145" s="17" t="s">
        <v>1068</v>
      </c>
      <c r="GG145" s="17" t="s">
        <v>1068</v>
      </c>
      <c r="GH145" s="17" t="s">
        <v>1068</v>
      </c>
      <c r="GI145" s="17" t="s">
        <v>1068</v>
      </c>
      <c r="GJ145" s="17" t="s">
        <v>1068</v>
      </c>
      <c r="GK145" s="17" t="s">
        <v>1068</v>
      </c>
      <c r="GL145" s="17" t="s">
        <v>1068</v>
      </c>
      <c r="GM145" s="17" t="s">
        <v>1068</v>
      </c>
      <c r="GN145" s="17" t="s">
        <v>1068</v>
      </c>
      <c r="GO145" s="17" t="s">
        <v>1068</v>
      </c>
      <c r="GP145" s="17" t="s">
        <v>1068</v>
      </c>
      <c r="GQ145" s="17" t="s">
        <v>1068</v>
      </c>
      <c r="GR145" s="17" t="s">
        <v>1068</v>
      </c>
      <c r="GS145" s="17" t="s">
        <v>1068</v>
      </c>
      <c r="GT145" s="17" t="s">
        <v>1068</v>
      </c>
      <c r="GU145" s="17" t="s">
        <v>1068</v>
      </c>
      <c r="GV145" s="17" t="s">
        <v>1068</v>
      </c>
      <c r="GW145" s="17" t="s">
        <v>1068</v>
      </c>
      <c r="GX145" s="17" t="s">
        <v>1068</v>
      </c>
      <c r="GY145" s="17" t="s">
        <v>1068</v>
      </c>
      <c r="GZ145" s="17" t="s">
        <v>1068</v>
      </c>
      <c r="HA145" s="17" t="s">
        <v>1068</v>
      </c>
      <c r="HB145" s="17" t="s">
        <v>1068</v>
      </c>
      <c r="HC145" s="17" t="s">
        <v>1068</v>
      </c>
      <c r="HD145" s="17" t="s">
        <v>1068</v>
      </c>
      <c r="HE145" s="17" t="s">
        <v>1068</v>
      </c>
      <c r="HF145" s="17" t="s">
        <v>1068</v>
      </c>
      <c r="HG145" s="17" t="s">
        <v>1068</v>
      </c>
      <c r="HH145" s="17" t="s">
        <v>1068</v>
      </c>
      <c r="HI145" s="17" t="s">
        <v>1068</v>
      </c>
      <c r="HJ145" s="17" t="s">
        <v>1068</v>
      </c>
      <c r="HK145" s="17" t="s">
        <v>1068</v>
      </c>
      <c r="HL145" s="17" t="s">
        <v>1068</v>
      </c>
      <c r="HM145" s="17" t="s">
        <v>1068</v>
      </c>
      <c r="HN145" s="17" t="s">
        <v>1068</v>
      </c>
      <c r="HO145" s="17" t="s">
        <v>1068</v>
      </c>
      <c r="HP145" s="17" t="s">
        <v>1068</v>
      </c>
      <c r="HQ145" s="17" t="s">
        <v>1068</v>
      </c>
      <c r="HR145" s="17" t="s">
        <v>1068</v>
      </c>
      <c r="HS145" s="17" t="s">
        <v>1068</v>
      </c>
      <c r="HT145" s="17" t="s">
        <v>1068</v>
      </c>
      <c r="HU145" s="17" t="s">
        <v>1068</v>
      </c>
      <c r="HV145" s="17" t="s">
        <v>1068</v>
      </c>
      <c r="HW145" s="17" t="s">
        <v>1068</v>
      </c>
      <c r="HX145" s="17" t="s">
        <v>1068</v>
      </c>
      <c r="HY145" s="17" t="s">
        <v>1068</v>
      </c>
      <c r="HZ145" s="17" t="s">
        <v>1068</v>
      </c>
      <c r="IA145" s="17" t="s">
        <v>1068</v>
      </c>
      <c r="IB145" s="17" t="s">
        <v>1068</v>
      </c>
      <c r="IC145" s="17" t="s">
        <v>1068</v>
      </c>
      <c r="ID145" s="17" t="s">
        <v>1068</v>
      </c>
      <c r="IE145" s="17" t="s">
        <v>1068</v>
      </c>
      <c r="IF145" s="17" t="s">
        <v>1068</v>
      </c>
      <c r="IG145" s="17" t="s">
        <v>1068</v>
      </c>
      <c r="IH145" s="17" t="s">
        <v>1068</v>
      </c>
      <c r="II145" s="10" t="s">
        <v>1068</v>
      </c>
      <c r="IJ145" s="9"/>
      <c r="IK145" s="9"/>
      <c r="IL145" s="9"/>
      <c r="IM145" s="9"/>
      <c r="IN145" s="9"/>
      <c r="IO145" s="9"/>
      <c r="IP145" s="9"/>
      <c r="IQ145" s="9"/>
      <c r="IR145" s="9"/>
      <c r="IS145" s="9"/>
      <c r="IT145" s="9"/>
      <c r="IU145" s="9"/>
      <c r="IV145" s="9"/>
      <c r="IW145" s="9"/>
      <c r="IX145" s="9"/>
      <c r="IY145" s="9"/>
      <c r="IZ145" s="9"/>
      <c r="JA145" s="9"/>
      <c r="JB145" s="9"/>
      <c r="JC145" s="9"/>
      <c r="JD145" s="9"/>
      <c r="JE145" s="9"/>
      <c r="JF145" s="9"/>
      <c r="JG145" s="9"/>
      <c r="JH145" s="9"/>
      <c r="JI145" s="9"/>
      <c r="JJ145" s="9"/>
      <c r="JK145" s="9"/>
      <c r="JL145" s="9"/>
      <c r="JM145" s="9"/>
      <c r="JN145" s="9"/>
      <c r="JO145" s="9"/>
      <c r="JP145" s="9"/>
      <c r="JQ145" s="9"/>
      <c r="JR145" s="9"/>
      <c r="JS145" s="9"/>
      <c r="JT145" s="9"/>
      <c r="JU145" s="9"/>
      <c r="JV145" s="9"/>
      <c r="JW145" s="9"/>
      <c r="JX145" s="9"/>
      <c r="JY145" s="9"/>
      <c r="JZ145" s="9"/>
      <c r="KA145" s="9"/>
      <c r="KB145" s="9"/>
      <c r="KC145" s="9"/>
      <c r="KD145" s="9"/>
      <c r="KE145" s="9"/>
      <c r="KF145" s="9"/>
      <c r="KG145" s="9"/>
      <c r="KH145" s="9"/>
      <c r="KI145" s="9"/>
      <c r="KJ145" s="9"/>
      <c r="KK145" s="9"/>
      <c r="KL145" s="9"/>
      <c r="KM145" s="9"/>
      <c r="KN145" s="9"/>
      <c r="KO145" s="9"/>
      <c r="KP145" s="9"/>
      <c r="KQ145" s="9"/>
      <c r="KR145" s="9"/>
      <c r="KS145" s="9"/>
      <c r="KT145" s="9"/>
      <c r="KU145" s="9"/>
      <c r="KV145" s="9"/>
      <c r="KW145" s="10"/>
      <c r="KX145" s="10"/>
    </row>
    <row r="146" s="11" customFormat="1" customHeight="1" spans="1:310">
      <c r="A146" s="28">
        <v>45931</v>
      </c>
      <c r="B146" s="29" t="s">
        <v>1022</v>
      </c>
      <c r="C146" s="29" t="s">
        <v>1057</v>
      </c>
      <c r="D146" s="29" t="s">
        <v>134</v>
      </c>
      <c r="E146" s="29" t="s">
        <v>219</v>
      </c>
      <c r="F146" s="31" t="s">
        <v>289</v>
      </c>
      <c r="G146" s="31" t="s">
        <v>2075</v>
      </c>
      <c r="H146" s="29">
        <v>10</v>
      </c>
      <c r="I146" s="29">
        <v>2021</v>
      </c>
      <c r="J146" s="45" t="s">
        <v>2004</v>
      </c>
      <c r="K146" s="45" t="s">
        <v>1143</v>
      </c>
      <c r="L146" s="29">
        <v>1</v>
      </c>
      <c r="M146" s="29" t="s">
        <v>1013</v>
      </c>
      <c r="N146" s="29" t="s">
        <v>1014</v>
      </c>
      <c r="O146" s="29" t="s">
        <v>2076</v>
      </c>
      <c r="P146" s="29" t="s">
        <v>1018</v>
      </c>
      <c r="Q146" s="29" t="s">
        <v>1018</v>
      </c>
      <c r="R146" s="29" t="s">
        <v>1039</v>
      </c>
      <c r="S146" s="51">
        <v>540.09</v>
      </c>
      <c r="T146" s="29">
        <v>247.09</v>
      </c>
      <c r="U146" s="29">
        <v>2025.7</v>
      </c>
      <c r="V146" s="46">
        <v>0.5781</v>
      </c>
      <c r="W146" s="34">
        <v>0.9165</v>
      </c>
      <c r="X146" s="34" t="s">
        <v>2077</v>
      </c>
      <c r="Y146" s="29" t="s">
        <v>1018</v>
      </c>
      <c r="Z146" s="47" t="s">
        <v>2078</v>
      </c>
      <c r="AA146" s="29" t="s">
        <v>2079</v>
      </c>
      <c r="AB146" s="35" t="s">
        <v>2080</v>
      </c>
      <c r="AC146" s="29" t="s">
        <v>2081</v>
      </c>
      <c r="AD146" s="29" t="s">
        <v>1018</v>
      </c>
      <c r="AE146" s="29" t="s">
        <v>2032</v>
      </c>
      <c r="AF146" s="29"/>
      <c r="AG146" s="41" t="s">
        <v>2082</v>
      </c>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c r="DN146" s="9"/>
      <c r="DO146" s="9"/>
      <c r="DP146" s="9"/>
      <c r="DQ146" s="9"/>
      <c r="DR146" s="9"/>
      <c r="DS146" s="9"/>
      <c r="DT146" s="9"/>
      <c r="DU146" s="9"/>
      <c r="DV146" s="9"/>
      <c r="DW146" s="9"/>
      <c r="DX146" s="9"/>
      <c r="DY146" s="9"/>
      <c r="DZ146" s="9"/>
      <c r="EA146" s="9"/>
      <c r="EB146" s="9"/>
      <c r="EC146" s="9"/>
      <c r="ED146" s="9"/>
      <c r="EE146" s="9"/>
      <c r="EF146" s="9"/>
      <c r="EG146" s="9"/>
      <c r="EH146" s="9"/>
      <c r="EI146" s="9"/>
      <c r="EJ146" s="9"/>
      <c r="EK146" s="9"/>
      <c r="EL146" s="9"/>
      <c r="EM146" s="9"/>
      <c r="EN146" s="9"/>
      <c r="EO146" s="9"/>
      <c r="EP146" s="9"/>
      <c r="EQ146" s="9"/>
      <c r="ER146" s="9"/>
      <c r="ES146" s="9"/>
      <c r="ET146" s="9"/>
      <c r="EU146" s="9"/>
      <c r="EV146" s="9"/>
      <c r="EW146" s="9"/>
      <c r="EX146" s="9"/>
      <c r="EY146" s="9"/>
      <c r="EZ146" s="9"/>
      <c r="FA146" s="9"/>
      <c r="FB146" s="9"/>
      <c r="FC146" s="9"/>
      <c r="FD146" s="9"/>
      <c r="FE146" s="9"/>
      <c r="FF146" s="9"/>
      <c r="FG146" s="9"/>
      <c r="FH146" s="9"/>
      <c r="FI146" s="9"/>
      <c r="FJ146" s="9"/>
      <c r="FK146" s="9"/>
      <c r="FL146" s="9"/>
      <c r="FM146" s="9"/>
      <c r="FN146" s="9"/>
      <c r="FO146" s="9"/>
      <c r="FP146" s="9"/>
      <c r="FQ146" s="9"/>
      <c r="FR146" s="9"/>
      <c r="FS146" s="9"/>
      <c r="FT146" s="9"/>
      <c r="FU146" s="9"/>
      <c r="FV146" s="9"/>
      <c r="FW146" s="9"/>
      <c r="FX146" s="9"/>
      <c r="FY146" s="9"/>
      <c r="FZ146" s="9"/>
      <c r="GA146" s="9"/>
      <c r="GB146" s="9"/>
      <c r="GC146" s="9"/>
      <c r="GD146" s="9"/>
      <c r="GE146" s="9"/>
      <c r="GF146" s="9"/>
      <c r="GG146" s="9"/>
      <c r="GH146" s="9"/>
      <c r="GI146" s="9"/>
      <c r="GJ146" s="9"/>
      <c r="GK146" s="9"/>
      <c r="GL146" s="9"/>
      <c r="GM146" s="9"/>
      <c r="GN146" s="9"/>
      <c r="GO146" s="9"/>
      <c r="GP146" s="9"/>
      <c r="GQ146" s="9"/>
      <c r="GR146" s="9"/>
      <c r="GS146" s="9"/>
      <c r="GT146" s="9"/>
      <c r="GU146" s="9"/>
      <c r="GV146" s="9"/>
      <c r="GW146" s="9"/>
      <c r="GX146" s="9"/>
      <c r="GY146" s="9"/>
      <c r="GZ146" s="9"/>
      <c r="HA146" s="9"/>
      <c r="HB146" s="9"/>
      <c r="HC146" s="9"/>
      <c r="HD146" s="9"/>
      <c r="HE146" s="9"/>
      <c r="HF146" s="9"/>
      <c r="HG146" s="9"/>
      <c r="HH146" s="9"/>
      <c r="HI146" s="9"/>
      <c r="HJ146" s="9"/>
      <c r="HK146" s="9"/>
      <c r="HL146" s="9"/>
      <c r="HM146" s="9"/>
      <c r="HN146" s="9"/>
      <c r="HO146" s="9"/>
      <c r="HP146" s="9"/>
      <c r="HQ146" s="9"/>
      <c r="HR146" s="9"/>
      <c r="HS146" s="9"/>
      <c r="HT146" s="9"/>
      <c r="HU146" s="9"/>
      <c r="HV146" s="9"/>
      <c r="HW146" s="9"/>
      <c r="HX146" s="9"/>
      <c r="HY146" s="9"/>
      <c r="HZ146" s="9"/>
      <c r="IA146" s="9"/>
      <c r="IB146" s="9"/>
      <c r="IC146" s="9"/>
      <c r="ID146" s="9"/>
      <c r="IE146" s="9"/>
      <c r="IF146" s="9"/>
      <c r="IG146" s="9"/>
      <c r="IH146" s="9"/>
      <c r="II146" s="9"/>
      <c r="IJ146" s="9"/>
      <c r="IK146" s="9"/>
      <c r="IL146" s="9"/>
      <c r="IM146" s="9"/>
      <c r="IN146" s="9"/>
      <c r="IO146" s="9"/>
      <c r="IP146" s="9"/>
      <c r="IQ146" s="9"/>
      <c r="IR146" s="9"/>
      <c r="IS146" s="9"/>
      <c r="IT146" s="9"/>
      <c r="IU146" s="9"/>
      <c r="IV146" s="9"/>
      <c r="IW146" s="9"/>
      <c r="IX146" s="9"/>
      <c r="IY146" s="9"/>
      <c r="IZ146" s="9"/>
      <c r="JA146" s="9"/>
      <c r="JB146" s="9"/>
      <c r="JC146" s="9"/>
      <c r="JD146" s="9"/>
      <c r="JE146" s="9"/>
      <c r="JF146" s="9"/>
      <c r="JG146" s="9"/>
      <c r="JH146" s="9"/>
      <c r="JI146" s="9"/>
      <c r="JJ146" s="9"/>
      <c r="JK146" s="9"/>
      <c r="JL146" s="9"/>
      <c r="JM146" s="9"/>
      <c r="JN146" s="9"/>
      <c r="JO146" s="9"/>
      <c r="JP146" s="9"/>
      <c r="JQ146" s="9"/>
      <c r="JR146" s="9"/>
      <c r="JS146" s="9"/>
      <c r="JT146" s="9"/>
      <c r="JU146" s="9"/>
      <c r="JV146" s="9"/>
      <c r="JW146" s="9"/>
      <c r="JX146" s="9"/>
      <c r="JY146" s="9"/>
      <c r="JZ146" s="9"/>
      <c r="KA146" s="9"/>
      <c r="KB146" s="9"/>
      <c r="KC146" s="9"/>
      <c r="KD146" s="9"/>
      <c r="KE146" s="9"/>
      <c r="KF146" s="9"/>
      <c r="KG146" s="9"/>
      <c r="KH146" s="9"/>
      <c r="KI146" s="9"/>
      <c r="KJ146" s="9"/>
      <c r="KK146" s="9"/>
      <c r="KL146" s="9"/>
      <c r="KM146" s="9"/>
      <c r="KN146" s="9"/>
      <c r="KO146" s="9"/>
      <c r="KP146" s="9"/>
      <c r="KQ146" s="9"/>
      <c r="KR146" s="9"/>
      <c r="KS146" s="9"/>
      <c r="KT146" s="9"/>
      <c r="KU146" s="9"/>
      <c r="KV146" s="9"/>
      <c r="KW146" s="9"/>
      <c r="KX146" s="9"/>
    </row>
    <row r="147" s="9" customFormat="1" customHeight="1" spans="1:310">
      <c r="A147" s="28">
        <v>45931</v>
      </c>
      <c r="B147" s="29" t="s">
        <v>1022</v>
      </c>
      <c r="C147" s="32" t="s">
        <v>1057</v>
      </c>
      <c r="D147" s="32" t="s">
        <v>134</v>
      </c>
      <c r="E147" s="32" t="s">
        <v>219</v>
      </c>
      <c r="F147" s="31" t="s">
        <v>2083</v>
      </c>
      <c r="G147" s="31" t="s">
        <v>2084</v>
      </c>
      <c r="H147" s="29">
        <v>10</v>
      </c>
      <c r="I147" s="32">
        <v>2021</v>
      </c>
      <c r="J147" s="36" t="s">
        <v>1696</v>
      </c>
      <c r="K147" s="36" t="s">
        <v>1036</v>
      </c>
      <c r="L147" s="49">
        <v>10</v>
      </c>
      <c r="M147" s="29" t="s">
        <v>1013</v>
      </c>
      <c r="N147" s="29" t="s">
        <v>1014</v>
      </c>
      <c r="O147" s="49" t="s">
        <v>2085</v>
      </c>
      <c r="P147" s="32" t="s">
        <v>1018</v>
      </c>
      <c r="Q147" s="32"/>
      <c r="R147" s="32" t="s">
        <v>2086</v>
      </c>
      <c r="S147" s="37">
        <v>115.78</v>
      </c>
      <c r="T147" s="32">
        <v>54.11</v>
      </c>
      <c r="U147" s="32" t="s">
        <v>2087</v>
      </c>
      <c r="V147" s="33">
        <v>0.5433</v>
      </c>
      <c r="W147" s="39">
        <v>0.92</v>
      </c>
      <c r="X147" s="39" t="s">
        <v>2088</v>
      </c>
      <c r="Y147" s="32" t="s">
        <v>1018</v>
      </c>
      <c r="Z147" s="32" t="s">
        <v>2089</v>
      </c>
      <c r="AA147" s="32" t="s">
        <v>2090</v>
      </c>
      <c r="AB147" s="40" t="s">
        <v>2091</v>
      </c>
      <c r="AC147" s="32" t="s">
        <v>2092</v>
      </c>
      <c r="AD147" s="32" t="s">
        <v>1018</v>
      </c>
      <c r="AE147" s="32"/>
      <c r="AF147" s="32"/>
      <c r="AG147" s="50" t="s">
        <v>2093</v>
      </c>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IJ147" s="10"/>
      <c r="IK147" s="10"/>
      <c r="IL147" s="10"/>
      <c r="IM147" s="10"/>
      <c r="IN147" s="10"/>
      <c r="IO147" s="10"/>
      <c r="IP147" s="10"/>
      <c r="IQ147" s="10"/>
      <c r="IR147" s="10"/>
      <c r="IS147" s="10"/>
      <c r="IT147" s="10"/>
      <c r="IU147" s="10"/>
      <c r="IV147" s="10"/>
      <c r="IW147" s="10"/>
      <c r="IX147" s="10"/>
      <c r="IY147" s="10"/>
      <c r="IZ147" s="10"/>
      <c r="JA147" s="10"/>
      <c r="JB147" s="10"/>
      <c r="JC147" s="10"/>
      <c r="JD147" s="10"/>
      <c r="JE147" s="10"/>
      <c r="JF147" s="10"/>
      <c r="JG147" s="10"/>
      <c r="JH147" s="10"/>
      <c r="JI147" s="10"/>
      <c r="JJ147" s="10"/>
      <c r="JK147" s="10"/>
      <c r="JL147" s="10"/>
      <c r="JM147" s="10"/>
      <c r="JN147" s="10"/>
      <c r="JO147" s="10"/>
      <c r="JP147" s="10"/>
      <c r="JQ147" s="10"/>
      <c r="JR147" s="10"/>
      <c r="JS147" s="10"/>
      <c r="JT147" s="10"/>
      <c r="JU147" s="10"/>
      <c r="JV147" s="10"/>
      <c r="JW147" s="10"/>
      <c r="JX147" s="10"/>
      <c r="JY147" s="10"/>
      <c r="JZ147" s="10"/>
      <c r="KA147" s="10"/>
      <c r="KB147" s="10"/>
      <c r="KC147" s="10"/>
      <c r="KD147" s="10"/>
      <c r="KE147" s="10"/>
      <c r="KF147" s="10"/>
      <c r="KG147" s="10"/>
      <c r="KH147" s="10"/>
      <c r="KI147" s="10"/>
      <c r="KJ147" s="10"/>
      <c r="KK147" s="10"/>
      <c r="KL147" s="10"/>
      <c r="KM147" s="10"/>
      <c r="KN147" s="10"/>
      <c r="KO147" s="10"/>
      <c r="KP147" s="10"/>
      <c r="KQ147" s="10"/>
      <c r="KR147" s="10"/>
      <c r="KS147" s="10"/>
      <c r="KT147" s="10"/>
      <c r="KU147" s="10"/>
      <c r="KV147" s="10"/>
      <c r="KW147" s="10"/>
      <c r="KX147" s="10"/>
    </row>
    <row r="148" s="11" customFormat="1" customHeight="1" spans="1:310">
      <c r="A148" s="28">
        <v>45962</v>
      </c>
      <c r="B148" s="30" t="s">
        <v>1022</v>
      </c>
      <c r="C148" s="52" t="s">
        <v>1007</v>
      </c>
      <c r="D148" s="52" t="s">
        <v>1215</v>
      </c>
      <c r="E148" s="52" t="s">
        <v>56</v>
      </c>
      <c r="F148" s="31" t="s">
        <v>56</v>
      </c>
      <c r="G148" s="31" t="s">
        <v>2094</v>
      </c>
      <c r="H148" s="52">
        <v>11</v>
      </c>
      <c r="I148" s="52">
        <v>2021</v>
      </c>
      <c r="J148" s="52" t="s">
        <v>2095</v>
      </c>
      <c r="K148" s="59" t="s">
        <v>1012</v>
      </c>
      <c r="L148" s="52">
        <v>1</v>
      </c>
      <c r="M148" s="29" t="s">
        <v>1013</v>
      </c>
      <c r="N148" s="29" t="s">
        <v>1014</v>
      </c>
      <c r="O148" s="52">
        <v>195</v>
      </c>
      <c r="P148" s="52" t="s">
        <v>1018</v>
      </c>
      <c r="Q148" s="52" t="s">
        <v>1018</v>
      </c>
      <c r="R148" s="52" t="s">
        <v>2096</v>
      </c>
      <c r="S148" s="29">
        <v>2188.6</v>
      </c>
      <c r="T148" s="29">
        <f>1500/4</f>
        <v>375</v>
      </c>
      <c r="U148" s="29">
        <v>2025.11</v>
      </c>
      <c r="V148" s="64">
        <f>T148/S148</f>
        <v>0.17134241067349</v>
      </c>
      <c r="W148" s="52" t="s">
        <v>1068</v>
      </c>
      <c r="X148" s="52" t="s">
        <v>2097</v>
      </c>
      <c r="Y148" s="52" t="s">
        <v>1018</v>
      </c>
      <c r="Z148" s="52" t="s">
        <v>2098</v>
      </c>
      <c r="AA148" s="52" t="s">
        <v>2099</v>
      </c>
      <c r="AB148" s="52" t="s">
        <v>2100</v>
      </c>
      <c r="AC148" s="52" t="s">
        <v>2101</v>
      </c>
      <c r="AD148" s="52" t="s">
        <v>1018</v>
      </c>
      <c r="AE148" s="83" t="s">
        <v>134</v>
      </c>
      <c r="AF148" s="83" t="s">
        <v>1018</v>
      </c>
      <c r="AG148" s="52" t="s">
        <v>1068</v>
      </c>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c r="FT148" s="10"/>
      <c r="FU148" s="10"/>
      <c r="FV148" s="10"/>
      <c r="FW148" s="10"/>
      <c r="FX148" s="10"/>
      <c r="FY148" s="10"/>
      <c r="FZ148" s="10"/>
      <c r="GA148" s="10"/>
      <c r="GB148" s="10"/>
      <c r="GC148" s="10"/>
      <c r="GD148" s="10"/>
      <c r="GE148" s="10"/>
      <c r="GF148" s="10"/>
      <c r="GG148" s="10"/>
      <c r="GH148" s="10"/>
      <c r="GI148" s="10"/>
      <c r="GJ148" s="10"/>
      <c r="GK148" s="10"/>
      <c r="GL148" s="10"/>
      <c r="GM148" s="10"/>
      <c r="GN148" s="10"/>
      <c r="GO148" s="10"/>
      <c r="GP148" s="10"/>
      <c r="GQ148" s="10"/>
      <c r="GR148" s="10"/>
      <c r="GS148" s="10"/>
      <c r="GT148" s="10"/>
      <c r="GU148" s="10"/>
      <c r="GV148" s="10"/>
      <c r="GW148" s="10"/>
      <c r="GX148" s="10"/>
      <c r="GY148" s="10"/>
      <c r="GZ148" s="10"/>
      <c r="HA148" s="10"/>
      <c r="HB148" s="10"/>
      <c r="HC148" s="10"/>
      <c r="HD148" s="10"/>
      <c r="HE148" s="10"/>
      <c r="HF148" s="10"/>
      <c r="HG148" s="10"/>
      <c r="HH148" s="10"/>
      <c r="HI148" s="10"/>
      <c r="HJ148" s="10"/>
      <c r="HK148" s="10"/>
      <c r="HL148" s="10"/>
      <c r="HM148" s="10"/>
      <c r="HN148" s="10"/>
      <c r="HO148" s="10"/>
      <c r="HP148" s="10"/>
      <c r="HQ148" s="10"/>
      <c r="HR148" s="10"/>
      <c r="HS148" s="10"/>
      <c r="HT148" s="10"/>
      <c r="HU148" s="10"/>
      <c r="HV148" s="10"/>
      <c r="HW148" s="10"/>
      <c r="HX148" s="10"/>
      <c r="HY148" s="10"/>
      <c r="HZ148" s="10"/>
      <c r="IA148" s="10"/>
      <c r="IB148" s="10"/>
      <c r="IC148" s="10"/>
      <c r="ID148" s="10"/>
      <c r="IE148" s="10"/>
      <c r="IF148" s="10"/>
      <c r="IG148" s="10"/>
      <c r="IH148" s="10"/>
      <c r="II148" s="10"/>
      <c r="IJ148" s="9"/>
      <c r="IK148" s="9"/>
      <c r="IL148" s="9"/>
      <c r="IM148" s="9"/>
      <c r="IN148" s="9"/>
      <c r="IO148" s="9"/>
      <c r="IP148" s="9"/>
      <c r="IQ148" s="9"/>
      <c r="IR148" s="9"/>
      <c r="IS148" s="9"/>
      <c r="IT148" s="9"/>
      <c r="IU148" s="9"/>
      <c r="IV148" s="9"/>
      <c r="IW148" s="9"/>
      <c r="IX148" s="9"/>
      <c r="IY148" s="9"/>
      <c r="IZ148" s="9"/>
      <c r="JA148" s="9"/>
      <c r="JB148" s="9"/>
      <c r="JC148" s="9"/>
      <c r="JD148" s="9"/>
      <c r="JE148" s="9"/>
      <c r="JF148" s="9"/>
      <c r="JG148" s="9"/>
      <c r="JH148" s="9"/>
      <c r="JI148" s="9"/>
      <c r="JJ148" s="9"/>
      <c r="JK148" s="9"/>
      <c r="JL148" s="9"/>
      <c r="JM148" s="9"/>
      <c r="JN148" s="9"/>
      <c r="JO148" s="9"/>
      <c r="JP148" s="9"/>
      <c r="JQ148" s="9"/>
      <c r="JR148" s="9"/>
      <c r="JS148" s="9"/>
      <c r="JT148" s="9"/>
      <c r="JU148" s="9"/>
      <c r="JV148" s="9"/>
      <c r="JW148" s="9"/>
      <c r="JX148" s="9"/>
      <c r="JY148" s="9"/>
      <c r="JZ148" s="9"/>
      <c r="KA148" s="9"/>
      <c r="KB148" s="9"/>
      <c r="KC148" s="9"/>
      <c r="KD148" s="9"/>
      <c r="KE148" s="9"/>
      <c r="KF148" s="9"/>
      <c r="KG148" s="9"/>
      <c r="KH148" s="9"/>
      <c r="KI148" s="9"/>
      <c r="KJ148" s="9"/>
      <c r="KK148" s="9"/>
      <c r="KL148" s="9"/>
      <c r="KM148" s="9"/>
      <c r="KN148" s="9"/>
      <c r="KO148" s="9"/>
      <c r="KP148" s="9"/>
      <c r="KQ148" s="9"/>
      <c r="KR148" s="9"/>
      <c r="KS148" s="9"/>
      <c r="KT148" s="9"/>
      <c r="KU148" s="9"/>
      <c r="KV148" s="9"/>
      <c r="KW148" s="10"/>
      <c r="KX148" s="10"/>
    </row>
    <row r="149" customHeight="1" spans="1:310">
      <c r="A149" s="28">
        <v>45962</v>
      </c>
      <c r="B149" s="30" t="s">
        <v>1022</v>
      </c>
      <c r="C149" s="32" t="s">
        <v>1057</v>
      </c>
      <c r="D149" s="32" t="s">
        <v>1058</v>
      </c>
      <c r="E149" s="32" t="s">
        <v>219</v>
      </c>
      <c r="F149" s="31" t="s">
        <v>2102</v>
      </c>
      <c r="G149" s="31" t="s">
        <v>2103</v>
      </c>
      <c r="H149" s="30">
        <v>11</v>
      </c>
      <c r="I149" s="32">
        <v>2020</v>
      </c>
      <c r="J149" s="36" t="s">
        <v>2095</v>
      </c>
      <c r="K149" s="59" t="s">
        <v>1012</v>
      </c>
      <c r="L149" s="32">
        <v>1</v>
      </c>
      <c r="M149" s="29" t="s">
        <v>1013</v>
      </c>
      <c r="N149" s="29" t="s">
        <v>1014</v>
      </c>
      <c r="O149" s="32" t="s">
        <v>2068</v>
      </c>
      <c r="P149" s="32" t="s">
        <v>1018</v>
      </c>
      <c r="Q149" s="32"/>
      <c r="R149" s="32" t="s">
        <v>1039</v>
      </c>
      <c r="S149" s="37">
        <v>336.76</v>
      </c>
      <c r="T149" s="32">
        <v>205.18</v>
      </c>
      <c r="U149" s="32">
        <v>2024.04</v>
      </c>
      <c r="V149" s="33">
        <v>0.7177</v>
      </c>
      <c r="W149" s="39">
        <v>0.9157</v>
      </c>
      <c r="X149" s="39" t="s">
        <v>2104</v>
      </c>
      <c r="Y149" s="32" t="s">
        <v>1018</v>
      </c>
      <c r="Z149" s="32" t="s">
        <v>2105</v>
      </c>
      <c r="AA149" s="32" t="s">
        <v>1164</v>
      </c>
      <c r="AB149" s="40" t="s">
        <v>2106</v>
      </c>
      <c r="AC149" s="32" t="s">
        <v>2107</v>
      </c>
      <c r="AD149" s="32" t="s">
        <v>1018</v>
      </c>
      <c r="AE149" s="32"/>
      <c r="AF149" s="32"/>
      <c r="AG149" s="32"/>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c r="DV149" s="11"/>
      <c r="DW149" s="11"/>
      <c r="DX149" s="11"/>
      <c r="DY149" s="11"/>
      <c r="DZ149" s="11"/>
      <c r="EA149" s="11"/>
      <c r="EB149" s="11"/>
      <c r="EC149" s="11"/>
      <c r="ED149" s="11"/>
      <c r="EE149" s="11"/>
      <c r="EF149" s="11"/>
      <c r="EG149" s="11"/>
      <c r="EH149" s="11"/>
      <c r="EI149" s="11"/>
      <c r="EJ149" s="11"/>
      <c r="EK149" s="11"/>
      <c r="EL149" s="11"/>
      <c r="EM149" s="11"/>
      <c r="EN149" s="11"/>
      <c r="EO149" s="11"/>
      <c r="EP149" s="11"/>
      <c r="EQ149" s="11"/>
      <c r="ER149" s="11"/>
      <c r="ES149" s="11"/>
      <c r="ET149" s="11"/>
      <c r="EU149" s="11"/>
      <c r="EV149" s="11"/>
      <c r="EW149" s="11"/>
      <c r="EX149" s="11"/>
      <c r="EY149" s="11"/>
      <c r="EZ149" s="11"/>
      <c r="FA149" s="11"/>
      <c r="FB149" s="11"/>
      <c r="FC149" s="11"/>
      <c r="FD149" s="11"/>
      <c r="FE149" s="11"/>
      <c r="FF149" s="11"/>
      <c r="FG149" s="11"/>
      <c r="FH149" s="11"/>
      <c r="FI149" s="11"/>
      <c r="FJ149" s="11"/>
      <c r="FK149" s="11"/>
      <c r="FL149" s="11"/>
      <c r="FM149" s="11"/>
      <c r="FN149" s="11"/>
      <c r="FO149" s="11"/>
      <c r="FP149" s="11"/>
      <c r="FQ149" s="11"/>
      <c r="FR149" s="11"/>
      <c r="FS149" s="11"/>
      <c r="FT149" s="11"/>
      <c r="FU149" s="11"/>
      <c r="FV149" s="11"/>
      <c r="FW149" s="11"/>
      <c r="FX149" s="11"/>
      <c r="FY149" s="11"/>
      <c r="FZ149" s="11"/>
      <c r="GA149" s="11"/>
      <c r="GB149" s="11"/>
      <c r="GC149" s="11"/>
      <c r="GD149" s="11"/>
      <c r="GE149" s="11"/>
      <c r="GF149" s="11"/>
      <c r="GG149" s="11"/>
      <c r="GH149" s="11"/>
      <c r="GI149" s="11"/>
      <c r="GJ149" s="11"/>
      <c r="GK149" s="11"/>
      <c r="GL149" s="11"/>
      <c r="GM149" s="11"/>
      <c r="GN149" s="11"/>
      <c r="GO149" s="11"/>
      <c r="GP149" s="11"/>
      <c r="GQ149" s="11"/>
      <c r="GR149" s="11"/>
      <c r="GS149" s="11"/>
      <c r="GT149" s="11"/>
      <c r="GU149" s="11"/>
      <c r="GV149" s="11"/>
      <c r="GW149" s="11"/>
      <c r="GX149" s="11"/>
      <c r="GY149" s="11"/>
      <c r="GZ149" s="11"/>
      <c r="HA149" s="11"/>
      <c r="HB149" s="11"/>
      <c r="HC149" s="11"/>
      <c r="HD149" s="11"/>
      <c r="HE149" s="11"/>
      <c r="HF149" s="11"/>
      <c r="HG149" s="11"/>
      <c r="HH149" s="11"/>
      <c r="HI149" s="11"/>
      <c r="HJ149" s="11"/>
      <c r="HK149" s="11"/>
      <c r="HL149" s="11"/>
      <c r="HM149" s="11"/>
      <c r="HN149" s="11"/>
      <c r="HO149" s="11"/>
      <c r="HP149" s="11"/>
      <c r="HQ149" s="11"/>
      <c r="HR149" s="11"/>
      <c r="HS149" s="11"/>
      <c r="HT149" s="11"/>
      <c r="HU149" s="11"/>
      <c r="HV149" s="11"/>
      <c r="HW149" s="11"/>
      <c r="HX149" s="11"/>
      <c r="HY149" s="11"/>
      <c r="HZ149" s="11"/>
      <c r="IA149" s="11"/>
      <c r="IB149" s="11"/>
      <c r="IC149" s="11"/>
      <c r="ID149" s="11"/>
      <c r="IE149" s="11"/>
      <c r="IF149" s="11"/>
      <c r="IG149" s="11"/>
      <c r="IH149" s="11"/>
      <c r="II149" s="9"/>
      <c r="IJ149" s="10"/>
      <c r="IK149" s="10"/>
      <c r="IL149" s="10"/>
      <c r="IM149" s="10"/>
      <c r="IN149" s="10"/>
      <c r="IO149" s="10"/>
      <c r="IP149" s="10"/>
      <c r="IQ149" s="10"/>
      <c r="IR149" s="10"/>
      <c r="IS149" s="10"/>
      <c r="IT149" s="10"/>
      <c r="IU149" s="10"/>
      <c r="IV149" s="10"/>
      <c r="IW149" s="10"/>
      <c r="IX149" s="10"/>
      <c r="IY149" s="10"/>
      <c r="IZ149" s="10"/>
      <c r="JA149" s="10"/>
      <c r="JB149" s="10"/>
      <c r="JC149" s="10"/>
      <c r="JD149" s="10"/>
      <c r="JE149" s="10"/>
      <c r="JF149" s="10"/>
      <c r="JG149" s="10"/>
      <c r="JH149" s="10"/>
      <c r="JI149" s="10"/>
      <c r="JJ149" s="10"/>
      <c r="JK149" s="10"/>
      <c r="JL149" s="10"/>
      <c r="JM149" s="10"/>
      <c r="JN149" s="10"/>
      <c r="JO149" s="10"/>
      <c r="JP149" s="10"/>
      <c r="JQ149" s="10"/>
      <c r="JR149" s="10"/>
      <c r="JS149" s="10"/>
      <c r="JT149" s="10"/>
      <c r="JU149" s="10"/>
      <c r="JV149" s="10"/>
      <c r="JW149" s="10"/>
      <c r="JX149" s="10"/>
      <c r="JY149" s="10"/>
      <c r="JZ149" s="10"/>
      <c r="KA149" s="10"/>
      <c r="KB149" s="10"/>
      <c r="KC149" s="10"/>
      <c r="KD149" s="10"/>
      <c r="KE149" s="10"/>
      <c r="KF149" s="10"/>
      <c r="KG149" s="10"/>
      <c r="KH149" s="10"/>
      <c r="KI149" s="10"/>
      <c r="KJ149" s="10"/>
      <c r="KK149" s="10"/>
      <c r="KL149" s="10"/>
      <c r="KM149" s="10"/>
      <c r="KN149" s="10"/>
      <c r="KO149" s="10"/>
      <c r="KP149" s="10"/>
      <c r="KQ149" s="10"/>
      <c r="KR149" s="10"/>
      <c r="KS149" s="10"/>
      <c r="KT149" s="10"/>
      <c r="KU149" s="10"/>
      <c r="KV149" s="10"/>
      <c r="KW149" s="9"/>
      <c r="KX149" s="9"/>
    </row>
    <row r="150" s="9" customFormat="1" customHeight="1" spans="1:310">
      <c r="A150" s="28">
        <v>45962</v>
      </c>
      <c r="B150" s="30" t="s">
        <v>1022</v>
      </c>
      <c r="C150" s="30" t="s">
        <v>1007</v>
      </c>
      <c r="D150" s="32" t="s">
        <v>1058</v>
      </c>
      <c r="E150" s="30" t="s">
        <v>678</v>
      </c>
      <c r="F150" s="31" t="s">
        <v>2108</v>
      </c>
      <c r="G150" s="31" t="s">
        <v>2109</v>
      </c>
      <c r="H150" s="30">
        <v>11</v>
      </c>
      <c r="I150" s="30">
        <v>2021</v>
      </c>
      <c r="J150" s="59" t="s">
        <v>1827</v>
      </c>
      <c r="K150" s="59" t="s">
        <v>1012</v>
      </c>
      <c r="L150" s="30">
        <v>1</v>
      </c>
      <c r="M150" s="29" t="s">
        <v>1013</v>
      </c>
      <c r="N150" s="29" t="s">
        <v>1014</v>
      </c>
      <c r="O150" s="30" t="s">
        <v>2110</v>
      </c>
      <c r="P150" s="30" t="s">
        <v>1018</v>
      </c>
      <c r="Q150" s="30" t="s">
        <v>1018</v>
      </c>
      <c r="R150" s="30" t="s">
        <v>1039</v>
      </c>
      <c r="S150" s="60">
        <v>938.67</v>
      </c>
      <c r="T150" s="30">
        <f>477/4</f>
        <v>119.25</v>
      </c>
      <c r="U150" s="30">
        <v>2025.11</v>
      </c>
      <c r="V150" s="80">
        <f>T150/S150</f>
        <v>0.12704145226757</v>
      </c>
      <c r="W150" s="74">
        <v>0.9209</v>
      </c>
      <c r="X150" s="30" t="s">
        <v>2111</v>
      </c>
      <c r="Y150" s="30" t="s">
        <v>1174</v>
      </c>
      <c r="Z150" s="30" t="s">
        <v>2112</v>
      </c>
      <c r="AA150" s="30">
        <v>0</v>
      </c>
      <c r="AB150" s="30" t="s">
        <v>2113</v>
      </c>
      <c r="AC150" s="30" t="s">
        <v>2114</v>
      </c>
      <c r="AD150" s="30" t="s">
        <v>1018</v>
      </c>
      <c r="AE150" s="30"/>
      <c r="AF150" s="30"/>
      <c r="AG150" s="41" t="s">
        <v>2115</v>
      </c>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c r="GS150" s="12"/>
      <c r="GT150" s="12"/>
      <c r="GU150" s="12"/>
      <c r="GV150" s="12"/>
      <c r="GW150" s="12"/>
      <c r="GX150" s="12"/>
      <c r="GY150" s="12"/>
      <c r="GZ150" s="12"/>
      <c r="HA150" s="12"/>
      <c r="HB150" s="12"/>
      <c r="HC150" s="12"/>
      <c r="HD150" s="12"/>
      <c r="HE150" s="12"/>
      <c r="HF150" s="12"/>
      <c r="HG150" s="12"/>
      <c r="HH150" s="12"/>
      <c r="HI150" s="12"/>
      <c r="HJ150" s="12"/>
      <c r="HK150" s="12"/>
      <c r="HL150" s="12"/>
      <c r="HM150" s="12"/>
      <c r="HN150" s="12"/>
      <c r="HO150" s="12"/>
      <c r="HP150" s="12"/>
      <c r="HQ150" s="12"/>
      <c r="HR150" s="12"/>
      <c r="HS150" s="12"/>
      <c r="HT150" s="12"/>
      <c r="HU150" s="12"/>
      <c r="HV150" s="12"/>
      <c r="HW150" s="12"/>
      <c r="HX150" s="12"/>
      <c r="HY150" s="12"/>
      <c r="HZ150" s="12"/>
      <c r="IA150" s="12"/>
      <c r="IB150" s="12"/>
      <c r="IC150" s="12"/>
      <c r="ID150" s="12"/>
      <c r="IE150" s="12"/>
      <c r="IF150" s="12"/>
      <c r="IG150" s="12"/>
      <c r="IH150" s="12"/>
      <c r="II150" s="16"/>
      <c r="IJ150" s="16"/>
      <c r="IK150" s="16"/>
      <c r="IL150" s="16"/>
      <c r="IM150" s="16"/>
      <c r="IN150" s="16"/>
      <c r="IO150" s="16"/>
      <c r="IP150" s="16"/>
      <c r="IQ150" s="16"/>
      <c r="IR150" s="16"/>
      <c r="IS150" s="16"/>
      <c r="IT150" s="16"/>
      <c r="IU150" s="16"/>
      <c r="IV150" s="16"/>
      <c r="IW150" s="16"/>
      <c r="IX150" s="16"/>
      <c r="IY150" s="16"/>
      <c r="IZ150" s="16"/>
      <c r="JA150" s="16"/>
      <c r="JB150" s="16"/>
      <c r="JC150" s="16"/>
      <c r="JD150" s="16"/>
      <c r="JE150" s="16"/>
      <c r="JF150" s="16"/>
      <c r="JG150" s="16"/>
      <c r="JH150" s="16"/>
      <c r="JI150" s="16"/>
      <c r="JJ150" s="16"/>
      <c r="JK150" s="16"/>
      <c r="JL150" s="16"/>
      <c r="JM150" s="16"/>
      <c r="JN150" s="16"/>
      <c r="JO150" s="16"/>
      <c r="JP150" s="16"/>
      <c r="JQ150" s="16"/>
      <c r="JR150" s="16"/>
      <c r="JS150" s="16"/>
      <c r="JT150" s="16"/>
      <c r="JU150" s="16"/>
      <c r="JV150" s="16"/>
      <c r="JW150" s="16"/>
      <c r="JX150" s="16"/>
      <c r="JY150" s="16"/>
      <c r="JZ150" s="16"/>
      <c r="KA150" s="16"/>
      <c r="KB150" s="16"/>
      <c r="KC150" s="16"/>
      <c r="KD150" s="16"/>
      <c r="KE150" s="16"/>
      <c r="KF150" s="16"/>
      <c r="KG150" s="16"/>
      <c r="KH150" s="16"/>
      <c r="KI150" s="16"/>
      <c r="KJ150" s="16"/>
      <c r="KK150" s="16"/>
      <c r="KL150" s="16"/>
      <c r="KM150" s="16"/>
      <c r="KN150" s="16"/>
      <c r="KO150" s="16"/>
      <c r="KP150" s="16"/>
      <c r="KQ150" s="16"/>
      <c r="KR150" s="16"/>
      <c r="KS150" s="16"/>
      <c r="KT150" s="16"/>
      <c r="KU150" s="16"/>
      <c r="KV150" s="16"/>
      <c r="KW150" s="10"/>
      <c r="KX150" s="10"/>
    </row>
    <row r="151" s="12" customFormat="1" customHeight="1" spans="1:310">
      <c r="A151" s="28">
        <v>45962</v>
      </c>
      <c r="B151" s="30" t="s">
        <v>1022</v>
      </c>
      <c r="C151" s="32" t="s">
        <v>1032</v>
      </c>
      <c r="D151" s="32" t="s">
        <v>134</v>
      </c>
      <c r="E151" s="32" t="s">
        <v>381</v>
      </c>
      <c r="F151" s="31" t="s">
        <v>535</v>
      </c>
      <c r="G151" s="31" t="s">
        <v>536</v>
      </c>
      <c r="H151" s="32">
        <v>11</v>
      </c>
      <c r="I151" s="32">
        <v>2020</v>
      </c>
      <c r="J151" s="36" t="s">
        <v>2095</v>
      </c>
      <c r="K151" s="59" t="s">
        <v>1012</v>
      </c>
      <c r="L151" s="32">
        <v>12</v>
      </c>
      <c r="M151" s="36" t="s">
        <v>2116</v>
      </c>
      <c r="N151" s="36" t="s">
        <v>2117</v>
      </c>
      <c r="O151" s="32" t="s">
        <v>2118</v>
      </c>
      <c r="P151" s="32" t="s">
        <v>1018</v>
      </c>
      <c r="Q151" s="32" t="s">
        <v>1018</v>
      </c>
      <c r="R151" s="32" t="s">
        <v>1017</v>
      </c>
      <c r="S151" s="32">
        <v>557.78</v>
      </c>
      <c r="T151" s="32">
        <f>150/3</f>
        <v>50</v>
      </c>
      <c r="U151" s="32" t="s">
        <v>2095</v>
      </c>
      <c r="V151" s="33">
        <f>T151/S151</f>
        <v>0.0896410771271828</v>
      </c>
      <c r="W151" s="39">
        <f>8000/85/150</f>
        <v>0.627450980392157</v>
      </c>
      <c r="X151" s="39" t="s">
        <v>2119</v>
      </c>
      <c r="Y151" s="32" t="s">
        <v>2120</v>
      </c>
      <c r="Z151" s="32" t="s">
        <v>2121</v>
      </c>
      <c r="AA151" s="32" t="s">
        <v>2122</v>
      </c>
      <c r="AB151" s="40" t="s">
        <v>2123</v>
      </c>
      <c r="AC151" s="32" t="s">
        <v>2124</v>
      </c>
      <c r="AD151" s="32" t="s">
        <v>2125</v>
      </c>
      <c r="AE151" s="32"/>
      <c r="AF151" s="32"/>
      <c r="AG151" s="87" t="s">
        <v>1537</v>
      </c>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c r="FP151" s="10"/>
      <c r="FQ151" s="10"/>
      <c r="FR151" s="10"/>
      <c r="FS151" s="10"/>
      <c r="FT151" s="10"/>
      <c r="FU151" s="10"/>
      <c r="FV151" s="10"/>
      <c r="FW151" s="10"/>
      <c r="FX151" s="10"/>
      <c r="FY151" s="10"/>
      <c r="FZ151" s="10"/>
      <c r="GA151" s="10"/>
      <c r="GB151" s="10"/>
      <c r="GC151" s="10"/>
      <c r="GD151" s="10"/>
      <c r="GE151" s="10"/>
      <c r="GF151" s="10"/>
      <c r="GG151" s="10"/>
      <c r="GH151" s="10"/>
      <c r="GI151" s="10"/>
      <c r="GJ151" s="10"/>
      <c r="GK151" s="10"/>
      <c r="GL151" s="10"/>
      <c r="GM151" s="10"/>
      <c r="GN151" s="10"/>
      <c r="GO151" s="10"/>
      <c r="GP151" s="10"/>
      <c r="GQ151" s="10"/>
      <c r="GR151" s="10"/>
      <c r="GS151" s="10"/>
      <c r="GT151" s="10"/>
      <c r="GU151" s="10"/>
      <c r="GV151" s="10"/>
      <c r="GW151" s="10"/>
      <c r="GX151" s="10"/>
      <c r="GY151" s="10"/>
      <c r="GZ151" s="10"/>
      <c r="HA151" s="10"/>
      <c r="HB151" s="10"/>
      <c r="HC151" s="10"/>
      <c r="HD151" s="10"/>
      <c r="HE151" s="10"/>
      <c r="HF151" s="10"/>
      <c r="HG151" s="10"/>
      <c r="HH151" s="10"/>
      <c r="HI151" s="10"/>
      <c r="HJ151" s="10"/>
      <c r="HK151" s="10"/>
      <c r="HL151" s="10"/>
      <c r="HM151" s="10"/>
      <c r="HN151" s="10"/>
      <c r="HO151" s="10"/>
      <c r="HP151" s="10"/>
      <c r="HQ151" s="10"/>
      <c r="HR151" s="10"/>
      <c r="HS151" s="10"/>
      <c r="HT151" s="10"/>
      <c r="HU151" s="10"/>
      <c r="HV151" s="10"/>
      <c r="HW151" s="10"/>
      <c r="HX151" s="10"/>
      <c r="HY151" s="10"/>
      <c r="HZ151" s="10"/>
      <c r="IA151" s="10"/>
      <c r="IB151" s="10"/>
      <c r="IC151" s="10"/>
      <c r="ID151" s="10"/>
      <c r="IE151" s="10"/>
      <c r="IF151" s="10"/>
      <c r="IG151" s="10"/>
      <c r="IH151" s="10"/>
      <c r="II151" s="9"/>
      <c r="IJ151" s="9"/>
      <c r="IK151" s="9"/>
      <c r="IL151" s="9"/>
      <c r="IM151" s="9"/>
      <c r="IN151" s="9"/>
      <c r="IO151" s="9"/>
      <c r="IP151" s="9"/>
      <c r="IQ151" s="9"/>
      <c r="IR151" s="9"/>
      <c r="IS151" s="9"/>
      <c r="IT151" s="9"/>
      <c r="IU151" s="9"/>
      <c r="IV151" s="9"/>
      <c r="IW151" s="9"/>
      <c r="IX151" s="9"/>
      <c r="IY151" s="9"/>
      <c r="IZ151" s="9"/>
      <c r="JA151" s="9"/>
      <c r="JB151" s="9"/>
      <c r="JC151" s="9"/>
      <c r="JD151" s="9"/>
      <c r="JE151" s="9"/>
      <c r="JF151" s="9"/>
      <c r="JG151" s="9"/>
      <c r="JH151" s="9"/>
      <c r="JI151" s="9"/>
      <c r="JJ151" s="9"/>
      <c r="JK151" s="9"/>
      <c r="JL151" s="9"/>
      <c r="JM151" s="9"/>
      <c r="JN151" s="9"/>
      <c r="JO151" s="9"/>
      <c r="JP151" s="9"/>
      <c r="JQ151" s="9"/>
      <c r="JR151" s="9"/>
      <c r="JS151" s="9"/>
      <c r="JT151" s="9"/>
      <c r="JU151" s="9"/>
      <c r="JV151" s="9"/>
      <c r="JW151" s="9"/>
      <c r="JX151" s="9"/>
      <c r="JY151" s="9"/>
      <c r="JZ151" s="9"/>
      <c r="KA151" s="9"/>
      <c r="KB151" s="9"/>
      <c r="KC151" s="9"/>
      <c r="KD151" s="9"/>
      <c r="KE151" s="9"/>
      <c r="KF151" s="9"/>
      <c r="KG151" s="9"/>
      <c r="KH151" s="9"/>
      <c r="KI151" s="9"/>
      <c r="KJ151" s="9"/>
      <c r="KK151" s="9"/>
      <c r="KL151" s="9"/>
      <c r="KM151" s="9"/>
      <c r="KN151" s="9"/>
      <c r="KO151" s="9"/>
      <c r="KP151" s="9"/>
      <c r="KQ151" s="9"/>
      <c r="KR151" s="9"/>
      <c r="KS151" s="9"/>
      <c r="KT151" s="9"/>
      <c r="KU151" s="9"/>
      <c r="KV151" s="9"/>
      <c r="KW151" s="11"/>
      <c r="KX151" s="11"/>
    </row>
    <row r="152" s="21" customFormat="1" customHeight="1" spans="1:310">
      <c r="A152" s="28">
        <v>45962</v>
      </c>
      <c r="B152" s="30" t="s">
        <v>1022</v>
      </c>
      <c r="C152" s="32" t="s">
        <v>1057</v>
      </c>
      <c r="D152" s="29" t="s">
        <v>134</v>
      </c>
      <c r="E152" s="29" t="s">
        <v>869</v>
      </c>
      <c r="F152" s="31" t="s">
        <v>2126</v>
      </c>
      <c r="G152" s="31" t="s">
        <v>2127</v>
      </c>
      <c r="H152" s="29">
        <v>11</v>
      </c>
      <c r="I152" s="30">
        <v>2024</v>
      </c>
      <c r="J152" s="30" t="s">
        <v>2128</v>
      </c>
      <c r="K152" s="59" t="s">
        <v>1012</v>
      </c>
      <c r="L152" s="30">
        <v>1</v>
      </c>
      <c r="M152" s="29" t="s">
        <v>1013</v>
      </c>
      <c r="N152" s="29" t="s">
        <v>1014</v>
      </c>
      <c r="O152" s="30">
        <v>99</v>
      </c>
      <c r="P152" s="30" t="s">
        <v>1018</v>
      </c>
      <c r="Q152" s="30" t="s">
        <v>1018</v>
      </c>
      <c r="R152" s="30" t="s">
        <v>1017</v>
      </c>
      <c r="S152" s="30">
        <v>84.17</v>
      </c>
      <c r="T152" s="30">
        <v>2</v>
      </c>
      <c r="U152" s="30">
        <v>2024.12</v>
      </c>
      <c r="V152" s="67"/>
      <c r="W152" s="30"/>
      <c r="X152" s="30"/>
      <c r="Y152" s="30" t="s">
        <v>1018</v>
      </c>
      <c r="Z152" s="30" t="s">
        <v>2129</v>
      </c>
      <c r="AA152" s="30" t="s">
        <v>1814</v>
      </c>
      <c r="AB152" s="30" t="s">
        <v>2130</v>
      </c>
      <c r="AC152" s="30" t="s">
        <v>2131</v>
      </c>
      <c r="AD152" s="30" t="s">
        <v>1018</v>
      </c>
      <c r="AE152" s="30"/>
      <c r="AF152" s="30"/>
      <c r="AG152" s="30"/>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c r="EM152" s="16"/>
      <c r="EN152" s="16"/>
      <c r="EO152" s="16"/>
      <c r="EP152" s="16"/>
      <c r="EQ152" s="16"/>
      <c r="ER152" s="16"/>
      <c r="ES152" s="16"/>
      <c r="ET152" s="16"/>
      <c r="EU152" s="16"/>
      <c r="EV152" s="16"/>
      <c r="EW152" s="16"/>
      <c r="EX152" s="16"/>
      <c r="EY152" s="16"/>
      <c r="EZ152" s="16"/>
      <c r="FA152" s="16"/>
      <c r="FB152" s="16"/>
      <c r="FC152" s="16"/>
      <c r="FD152" s="16"/>
      <c r="FE152" s="16"/>
      <c r="FF152" s="16"/>
      <c r="FG152" s="16"/>
      <c r="FH152" s="16"/>
      <c r="FI152" s="16"/>
      <c r="FJ152" s="16"/>
      <c r="FK152" s="16"/>
      <c r="FL152" s="16"/>
      <c r="FM152" s="16"/>
      <c r="FN152" s="16"/>
      <c r="FO152" s="16"/>
      <c r="FP152" s="16"/>
      <c r="FQ152" s="16"/>
      <c r="FR152" s="16"/>
      <c r="FS152" s="16"/>
      <c r="FT152" s="16"/>
      <c r="FU152" s="16"/>
      <c r="FV152" s="16"/>
      <c r="FW152" s="16"/>
      <c r="FX152" s="16"/>
      <c r="FY152" s="16"/>
      <c r="FZ152" s="16"/>
      <c r="GA152" s="16"/>
      <c r="GB152" s="16"/>
      <c r="GC152" s="16"/>
      <c r="GD152" s="16"/>
      <c r="GE152" s="16"/>
      <c r="GF152" s="16"/>
      <c r="GG152" s="16"/>
      <c r="GH152" s="16"/>
      <c r="GI152" s="16"/>
      <c r="GJ152" s="16"/>
      <c r="GK152" s="16"/>
      <c r="GL152" s="16"/>
      <c r="GM152" s="16"/>
      <c r="GN152" s="16"/>
      <c r="GO152" s="16"/>
      <c r="GP152" s="16"/>
      <c r="GQ152" s="16"/>
      <c r="GR152" s="16"/>
      <c r="GS152" s="16"/>
      <c r="GT152" s="16"/>
      <c r="GU152" s="16"/>
      <c r="GV152" s="16"/>
      <c r="GW152" s="16"/>
      <c r="GX152" s="16"/>
      <c r="GY152" s="16"/>
      <c r="GZ152" s="16"/>
      <c r="HA152" s="16"/>
      <c r="HB152" s="16"/>
      <c r="HC152" s="16"/>
      <c r="HD152" s="16"/>
      <c r="HE152" s="16"/>
      <c r="HF152" s="16"/>
      <c r="HG152" s="16"/>
      <c r="HH152" s="16"/>
      <c r="HI152" s="16"/>
      <c r="HJ152" s="16"/>
      <c r="HK152" s="16"/>
      <c r="HL152" s="16"/>
      <c r="HM152" s="16"/>
      <c r="HN152" s="16"/>
      <c r="HO152" s="16"/>
      <c r="HP152" s="16"/>
      <c r="HQ152" s="16"/>
      <c r="HR152" s="16"/>
      <c r="HS152" s="16"/>
      <c r="HT152" s="16"/>
      <c r="HU152" s="16"/>
      <c r="HV152" s="16"/>
      <c r="HW152" s="16"/>
      <c r="HX152" s="16"/>
      <c r="HY152" s="16"/>
      <c r="HZ152" s="16"/>
      <c r="IA152" s="16"/>
      <c r="IB152" s="16"/>
      <c r="IC152" s="16"/>
      <c r="ID152" s="16"/>
      <c r="IE152" s="16"/>
      <c r="IF152" s="16"/>
      <c r="IG152" s="16"/>
      <c r="IH152" s="16"/>
      <c r="II152" s="16"/>
      <c r="IJ152" s="11"/>
      <c r="IK152" s="11"/>
      <c r="IL152" s="11"/>
      <c r="IM152" s="11"/>
      <c r="IN152" s="11"/>
      <c r="IO152" s="11"/>
      <c r="IP152" s="11"/>
      <c r="IQ152" s="11"/>
      <c r="IR152" s="11"/>
      <c r="IS152" s="11"/>
      <c r="IT152" s="11"/>
      <c r="IU152" s="11"/>
      <c r="IV152" s="11"/>
      <c r="IW152" s="11"/>
      <c r="IX152" s="11"/>
      <c r="IY152" s="11"/>
      <c r="IZ152" s="11"/>
      <c r="JA152" s="11"/>
      <c r="JB152" s="11"/>
      <c r="JC152" s="11"/>
      <c r="JD152" s="11"/>
      <c r="JE152" s="11"/>
      <c r="JF152" s="11"/>
      <c r="JG152" s="11"/>
      <c r="JH152" s="11"/>
      <c r="JI152" s="11"/>
      <c r="JJ152" s="11"/>
      <c r="JK152" s="11"/>
      <c r="JL152" s="11"/>
      <c r="JM152" s="11"/>
      <c r="JN152" s="11"/>
      <c r="JO152" s="11"/>
      <c r="JP152" s="11"/>
      <c r="JQ152" s="11"/>
      <c r="JR152" s="11"/>
      <c r="JS152" s="11"/>
      <c r="JT152" s="11"/>
      <c r="JU152" s="11"/>
      <c r="JV152" s="11"/>
      <c r="JW152" s="11"/>
      <c r="JX152" s="11"/>
      <c r="JY152" s="11"/>
      <c r="JZ152" s="11"/>
      <c r="KA152" s="11"/>
      <c r="KB152" s="11"/>
      <c r="KC152" s="11"/>
      <c r="KD152" s="11"/>
      <c r="KE152" s="11"/>
      <c r="KF152" s="11"/>
      <c r="KG152" s="11"/>
      <c r="KH152" s="11"/>
      <c r="KI152" s="11"/>
      <c r="KJ152" s="11"/>
      <c r="KK152" s="11"/>
      <c r="KL152" s="11"/>
      <c r="KM152" s="11"/>
      <c r="KN152" s="11"/>
      <c r="KO152" s="11"/>
      <c r="KP152" s="11"/>
      <c r="KQ152" s="11"/>
      <c r="KR152" s="11"/>
      <c r="KS152" s="11"/>
      <c r="KT152" s="11"/>
      <c r="KU152" s="11"/>
      <c r="KV152" s="11"/>
      <c r="KW152" s="11"/>
      <c r="KX152" s="11"/>
    </row>
    <row r="153" s="9" customFormat="1" customHeight="1" spans="1:310">
      <c r="A153" s="28">
        <v>45962</v>
      </c>
      <c r="B153" s="30" t="s">
        <v>1022</v>
      </c>
      <c r="C153" s="32" t="s">
        <v>1032</v>
      </c>
      <c r="D153" s="32" t="s">
        <v>1042</v>
      </c>
      <c r="E153" s="32" t="s">
        <v>381</v>
      </c>
      <c r="F153" s="31" t="s">
        <v>382</v>
      </c>
      <c r="G153" s="31" t="s">
        <v>397</v>
      </c>
      <c r="H153" s="32">
        <v>11</v>
      </c>
      <c r="I153" s="32">
        <v>2020</v>
      </c>
      <c r="J153" s="59" t="s">
        <v>1827</v>
      </c>
      <c r="K153" s="59" t="s">
        <v>1012</v>
      </c>
      <c r="L153" s="32">
        <v>1</v>
      </c>
      <c r="M153" s="29" t="s">
        <v>1013</v>
      </c>
      <c r="N153" s="29" t="s">
        <v>1014</v>
      </c>
      <c r="O153" s="32">
        <v>180</v>
      </c>
      <c r="P153" s="32" t="s">
        <v>1018</v>
      </c>
      <c r="Q153" s="32" t="s">
        <v>1018</v>
      </c>
      <c r="R153" s="32" t="s">
        <v>1092</v>
      </c>
      <c r="S153" s="38">
        <v>1867</v>
      </c>
      <c r="T153" s="32">
        <v>280</v>
      </c>
      <c r="U153" s="32">
        <v>2024.12</v>
      </c>
      <c r="V153" s="33">
        <f t="shared" ref="V153:V161" si="3">T153/S153</f>
        <v>0.149973219068024</v>
      </c>
      <c r="W153" s="39">
        <v>0.803</v>
      </c>
      <c r="X153" s="39" t="s">
        <v>2132</v>
      </c>
      <c r="Y153" s="32" t="s">
        <v>1018</v>
      </c>
      <c r="Z153" s="32" t="s">
        <v>2133</v>
      </c>
      <c r="AA153" s="32" t="s">
        <v>2134</v>
      </c>
      <c r="AB153" s="40">
        <v>0.7</v>
      </c>
      <c r="AC153" s="32" t="s">
        <v>37</v>
      </c>
      <c r="AD153" s="32" t="s">
        <v>1018</v>
      </c>
      <c r="AE153" s="83" t="s">
        <v>134</v>
      </c>
      <c r="AF153" s="83" t="s">
        <v>1018</v>
      </c>
      <c r="AG153" s="32"/>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IJ153" s="11"/>
      <c r="IK153" s="11"/>
      <c r="IL153" s="11"/>
      <c r="IM153" s="11"/>
      <c r="IN153" s="11"/>
      <c r="IO153" s="11"/>
      <c r="IP153" s="11"/>
      <c r="IQ153" s="11"/>
      <c r="IR153" s="11"/>
      <c r="IS153" s="11"/>
      <c r="IT153" s="11"/>
      <c r="IU153" s="11"/>
      <c r="IV153" s="11"/>
      <c r="IW153" s="11"/>
      <c r="IX153" s="11"/>
      <c r="IY153" s="11"/>
      <c r="IZ153" s="11"/>
      <c r="JA153" s="11"/>
      <c r="JB153" s="11"/>
      <c r="JC153" s="11"/>
      <c r="JD153" s="11"/>
      <c r="JE153" s="11"/>
      <c r="JF153" s="11"/>
      <c r="JG153" s="11"/>
      <c r="JH153" s="11"/>
      <c r="JI153" s="11"/>
      <c r="JJ153" s="11"/>
      <c r="JK153" s="11"/>
      <c r="JL153" s="11"/>
      <c r="JM153" s="11"/>
      <c r="JN153" s="11"/>
      <c r="JO153" s="11"/>
      <c r="JP153" s="11"/>
      <c r="JQ153" s="11"/>
      <c r="JR153" s="11"/>
      <c r="JS153" s="11"/>
      <c r="JT153" s="11"/>
      <c r="JU153" s="11"/>
      <c r="JV153" s="11"/>
      <c r="JW153" s="11"/>
      <c r="JX153" s="11"/>
      <c r="JY153" s="11"/>
      <c r="JZ153" s="11"/>
      <c r="KA153" s="11"/>
      <c r="KB153" s="11"/>
      <c r="KC153" s="11"/>
      <c r="KD153" s="11"/>
      <c r="KE153" s="11"/>
      <c r="KF153" s="11"/>
      <c r="KG153" s="11"/>
      <c r="KH153" s="11"/>
      <c r="KI153" s="11"/>
      <c r="KJ153" s="11"/>
      <c r="KK153" s="11"/>
      <c r="KL153" s="11"/>
      <c r="KM153" s="11"/>
      <c r="KN153" s="11"/>
      <c r="KO153" s="11"/>
      <c r="KP153" s="11"/>
      <c r="KQ153" s="11"/>
      <c r="KR153" s="11"/>
      <c r="KS153" s="11"/>
      <c r="KT153" s="11"/>
      <c r="KU153" s="11"/>
      <c r="KV153" s="11"/>
      <c r="KW153" s="11"/>
      <c r="KX153" s="11"/>
    </row>
    <row r="154" s="9" customFormat="1" customHeight="1" spans="1:310">
      <c r="A154" s="28">
        <v>45962</v>
      </c>
      <c r="B154" s="30" t="s">
        <v>1022</v>
      </c>
      <c r="C154" s="32" t="s">
        <v>1023</v>
      </c>
      <c r="D154" s="32" t="s">
        <v>1047</v>
      </c>
      <c r="E154" s="32" t="s">
        <v>552</v>
      </c>
      <c r="F154" s="31" t="s">
        <v>552</v>
      </c>
      <c r="G154" s="31" t="s">
        <v>2135</v>
      </c>
      <c r="H154" s="30">
        <v>11</v>
      </c>
      <c r="I154" s="32">
        <v>2022</v>
      </c>
      <c r="J154" s="36" t="s">
        <v>1180</v>
      </c>
      <c r="K154" s="36" t="s">
        <v>1012</v>
      </c>
      <c r="L154" s="32">
        <v>1</v>
      </c>
      <c r="M154" s="29" t="s">
        <v>1013</v>
      </c>
      <c r="N154" s="29" t="s">
        <v>1014</v>
      </c>
      <c r="O154" s="32" t="s">
        <v>2136</v>
      </c>
      <c r="P154" s="32" t="s">
        <v>1018</v>
      </c>
      <c r="Q154" s="32"/>
      <c r="R154" s="32" t="s">
        <v>1039</v>
      </c>
      <c r="S154" s="37">
        <v>3213.34</v>
      </c>
      <c r="T154" s="32">
        <v>530</v>
      </c>
      <c r="U154" s="32" t="s">
        <v>2137</v>
      </c>
      <c r="V154" s="33">
        <f t="shared" si="3"/>
        <v>0.164937417142288</v>
      </c>
      <c r="W154" s="39">
        <v>0.8679</v>
      </c>
      <c r="X154" s="39" t="s">
        <v>2138</v>
      </c>
      <c r="Y154" s="32" t="s">
        <v>1018</v>
      </c>
      <c r="Z154" s="32" t="s">
        <v>2139</v>
      </c>
      <c r="AA154" s="32" t="s">
        <v>2140</v>
      </c>
      <c r="AB154" s="40" t="s">
        <v>2141</v>
      </c>
      <c r="AC154" s="32" t="s">
        <v>2142</v>
      </c>
      <c r="AD154" s="32" t="s">
        <v>1018</v>
      </c>
      <c r="AE154" s="83" t="s">
        <v>134</v>
      </c>
      <c r="AF154" s="83" t="s">
        <v>1018</v>
      </c>
      <c r="AG154" s="41" t="s">
        <v>2143</v>
      </c>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II154" s="11"/>
      <c r="IJ154" s="11"/>
      <c r="IK154" s="11"/>
      <c r="IL154" s="11"/>
      <c r="IM154" s="11"/>
      <c r="IN154" s="11"/>
      <c r="IO154" s="11"/>
      <c r="IP154" s="11"/>
      <c r="IQ154" s="11"/>
      <c r="IR154" s="11"/>
      <c r="IS154" s="11"/>
      <c r="IT154" s="11"/>
      <c r="IU154" s="11"/>
      <c r="IV154" s="11"/>
      <c r="IW154" s="11"/>
      <c r="IX154" s="11"/>
      <c r="IY154" s="11"/>
      <c r="IZ154" s="11"/>
      <c r="JA154" s="11"/>
      <c r="JB154" s="11"/>
      <c r="JC154" s="11"/>
      <c r="JD154" s="11"/>
      <c r="JE154" s="11"/>
      <c r="JF154" s="11"/>
      <c r="JG154" s="11"/>
      <c r="JH154" s="11"/>
      <c r="JI154" s="11"/>
      <c r="JJ154" s="11"/>
      <c r="JK154" s="11"/>
      <c r="JL154" s="11"/>
      <c r="JM154" s="11"/>
      <c r="JN154" s="11"/>
      <c r="JO154" s="11"/>
      <c r="JP154" s="11"/>
      <c r="JQ154" s="11"/>
      <c r="JR154" s="11"/>
      <c r="JS154" s="11"/>
      <c r="JT154" s="11"/>
      <c r="JU154" s="11"/>
      <c r="JV154" s="11"/>
      <c r="JW154" s="11"/>
      <c r="JX154" s="11"/>
      <c r="JY154" s="11"/>
      <c r="JZ154" s="11"/>
      <c r="KA154" s="11"/>
      <c r="KB154" s="11"/>
      <c r="KC154" s="11"/>
      <c r="KD154" s="11"/>
      <c r="KE154" s="11"/>
      <c r="KF154" s="11"/>
      <c r="KG154" s="11"/>
      <c r="KH154" s="11"/>
      <c r="KI154" s="11"/>
      <c r="KJ154" s="11"/>
      <c r="KK154" s="11"/>
      <c r="KL154" s="11"/>
      <c r="KM154" s="11"/>
      <c r="KN154" s="11"/>
      <c r="KO154" s="11"/>
      <c r="KP154" s="11"/>
      <c r="KQ154" s="11"/>
      <c r="KR154" s="11"/>
      <c r="KS154" s="11"/>
      <c r="KT154" s="11"/>
      <c r="KU154" s="11"/>
      <c r="KV154" s="11"/>
      <c r="KW154" s="11"/>
      <c r="KX154" s="11"/>
    </row>
    <row r="155" s="9" customFormat="1" customHeight="1" spans="1:310">
      <c r="A155" s="28">
        <v>45962</v>
      </c>
      <c r="B155" s="30" t="s">
        <v>1022</v>
      </c>
      <c r="C155" s="30" t="s">
        <v>1007</v>
      </c>
      <c r="D155" s="30" t="s">
        <v>134</v>
      </c>
      <c r="E155" s="30" t="s">
        <v>678</v>
      </c>
      <c r="F155" s="31" t="s">
        <v>714</v>
      </c>
      <c r="G155" s="31" t="s">
        <v>2144</v>
      </c>
      <c r="H155" s="30">
        <v>11</v>
      </c>
      <c r="I155" s="30">
        <v>2021</v>
      </c>
      <c r="J155" s="36" t="s">
        <v>1180</v>
      </c>
      <c r="K155" s="36" t="s">
        <v>1012</v>
      </c>
      <c r="L155" s="30">
        <v>1</v>
      </c>
      <c r="M155" s="29" t="s">
        <v>1013</v>
      </c>
      <c r="N155" s="29" t="s">
        <v>1014</v>
      </c>
      <c r="O155" s="30">
        <v>139</v>
      </c>
      <c r="P155" s="30" t="s">
        <v>1018</v>
      </c>
      <c r="Q155" s="30" t="s">
        <v>1018</v>
      </c>
      <c r="R155" s="30" t="s">
        <v>1039</v>
      </c>
      <c r="S155" s="60">
        <v>710.21</v>
      </c>
      <c r="T155" s="30">
        <v>80</v>
      </c>
      <c r="U155" s="30">
        <v>2025.11</v>
      </c>
      <c r="V155" s="33">
        <f t="shared" si="3"/>
        <v>0.112642739471424</v>
      </c>
      <c r="W155" s="106">
        <f>30000/320/139</f>
        <v>0.674460431654676</v>
      </c>
      <c r="X155" s="106" t="s">
        <v>2145</v>
      </c>
      <c r="Y155" s="30" t="s">
        <v>1018</v>
      </c>
      <c r="Z155" s="30" t="s">
        <v>2146</v>
      </c>
      <c r="AA155" s="30" t="s">
        <v>1102</v>
      </c>
      <c r="AB155" s="61">
        <v>0.1</v>
      </c>
      <c r="AC155" s="30" t="s">
        <v>37</v>
      </c>
      <c r="AD155" s="30" t="s">
        <v>1018</v>
      </c>
      <c r="AE155" s="30"/>
      <c r="AF155" s="30"/>
      <c r="AG155" s="29"/>
      <c r="KW155" s="10"/>
      <c r="KX155" s="10"/>
    </row>
    <row r="156" s="12" customFormat="1" customHeight="1" spans="1:310">
      <c r="A156" s="28">
        <v>45962</v>
      </c>
      <c r="B156" s="30" t="s">
        <v>1022</v>
      </c>
      <c r="C156" s="30" t="s">
        <v>1007</v>
      </c>
      <c r="D156" s="29" t="s">
        <v>1047</v>
      </c>
      <c r="E156" s="30" t="s">
        <v>1008</v>
      </c>
      <c r="F156" s="31" t="s">
        <v>2147</v>
      </c>
      <c r="G156" s="31" t="s">
        <v>2148</v>
      </c>
      <c r="H156" s="29">
        <v>11</v>
      </c>
      <c r="I156" s="29">
        <v>2021</v>
      </c>
      <c r="J156" s="29" t="s">
        <v>2149</v>
      </c>
      <c r="K156" s="36" t="s">
        <v>1012</v>
      </c>
      <c r="L156" s="29">
        <v>1</v>
      </c>
      <c r="M156" s="29" t="s">
        <v>1013</v>
      </c>
      <c r="N156" s="29" t="s">
        <v>1014</v>
      </c>
      <c r="O156" s="29">
        <v>69</v>
      </c>
      <c r="P156" s="29" t="s">
        <v>1018</v>
      </c>
      <c r="Q156" s="29" t="s">
        <v>1018</v>
      </c>
      <c r="R156" s="29" t="s">
        <v>1039</v>
      </c>
      <c r="S156" s="30">
        <v>435.94</v>
      </c>
      <c r="T156" s="29">
        <v>55</v>
      </c>
      <c r="U156" s="29" t="s">
        <v>1992</v>
      </c>
      <c r="V156" s="33">
        <f t="shared" si="3"/>
        <v>0.126164151029958</v>
      </c>
      <c r="W156" s="34">
        <v>0.6065</v>
      </c>
      <c r="X156" s="34"/>
      <c r="Y156" s="29" t="s">
        <v>1018</v>
      </c>
      <c r="Z156" s="29" t="s">
        <v>2150</v>
      </c>
      <c r="AA156" s="29" t="s">
        <v>2151</v>
      </c>
      <c r="AB156" s="35" t="s">
        <v>2152</v>
      </c>
      <c r="AC156" s="29" t="s">
        <v>65</v>
      </c>
      <c r="AD156" s="29" t="s">
        <v>1018</v>
      </c>
      <c r="AE156" s="29"/>
      <c r="AF156" s="29"/>
      <c r="AG156" s="29" t="s">
        <v>2153</v>
      </c>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c r="DN156" s="9"/>
      <c r="DO156" s="9"/>
      <c r="DP156" s="9"/>
      <c r="DQ156" s="9"/>
      <c r="DR156" s="9"/>
      <c r="DS156" s="9"/>
      <c r="DT156" s="9"/>
      <c r="DU156" s="9"/>
      <c r="DV156" s="9"/>
      <c r="DW156" s="9"/>
      <c r="DX156" s="9"/>
      <c r="DY156" s="9"/>
      <c r="DZ156" s="9"/>
      <c r="EA156" s="9"/>
      <c r="EB156" s="9"/>
      <c r="EC156" s="9"/>
      <c r="ED156" s="9"/>
      <c r="EE156" s="9"/>
      <c r="EF156" s="9"/>
      <c r="EG156" s="9"/>
      <c r="EH156" s="9"/>
      <c r="EI156" s="9"/>
      <c r="EJ156" s="9"/>
      <c r="EK156" s="9"/>
      <c r="EL156" s="9"/>
      <c r="EM156" s="9"/>
      <c r="EN156" s="9"/>
      <c r="EO156" s="9"/>
      <c r="EP156" s="9"/>
      <c r="EQ156" s="9"/>
      <c r="ER156" s="9"/>
      <c r="ES156" s="9"/>
      <c r="ET156" s="9"/>
      <c r="EU156" s="9"/>
      <c r="EV156" s="9"/>
      <c r="EW156" s="9"/>
      <c r="EX156" s="9"/>
      <c r="EY156" s="9"/>
      <c r="EZ156" s="9"/>
      <c r="FA156" s="9"/>
      <c r="FB156" s="9"/>
      <c r="FC156" s="9"/>
      <c r="FD156" s="9"/>
      <c r="FE156" s="9"/>
      <c r="FF156" s="9"/>
      <c r="FG156" s="9"/>
      <c r="FH156" s="9"/>
      <c r="FI156" s="9"/>
      <c r="FJ156" s="9"/>
      <c r="FK156" s="9"/>
      <c r="FL156" s="9"/>
      <c r="FM156" s="9"/>
      <c r="FN156" s="9"/>
      <c r="FO156" s="9"/>
      <c r="FP156" s="9"/>
      <c r="FQ156" s="9"/>
      <c r="FR156" s="9"/>
      <c r="FS156" s="9"/>
      <c r="FT156" s="9"/>
      <c r="FU156" s="9"/>
      <c r="FV156" s="9"/>
      <c r="FW156" s="9"/>
      <c r="FX156" s="9"/>
      <c r="FY156" s="9"/>
      <c r="FZ156" s="9"/>
      <c r="GA156" s="9"/>
      <c r="GB156" s="9"/>
      <c r="GC156" s="9"/>
      <c r="GD156" s="9"/>
      <c r="GE156" s="9"/>
      <c r="GF156" s="9"/>
      <c r="GG156" s="9"/>
      <c r="GH156" s="9"/>
      <c r="GI156" s="9"/>
      <c r="GJ156" s="9"/>
      <c r="GK156" s="9"/>
      <c r="GL156" s="9"/>
      <c r="GM156" s="9"/>
      <c r="GN156" s="9"/>
      <c r="GO156" s="9"/>
      <c r="GP156" s="9"/>
      <c r="GQ156" s="9"/>
      <c r="GR156" s="9"/>
      <c r="GS156" s="9"/>
      <c r="GT156" s="9"/>
      <c r="GU156" s="9"/>
      <c r="GV156" s="9"/>
      <c r="GW156" s="9"/>
      <c r="GX156" s="9"/>
      <c r="GY156" s="9"/>
      <c r="GZ156" s="9"/>
      <c r="HA156" s="9"/>
      <c r="HB156" s="9"/>
      <c r="HC156" s="9"/>
      <c r="HD156" s="9"/>
      <c r="HE156" s="9"/>
      <c r="HF156" s="9"/>
      <c r="HG156" s="9"/>
      <c r="HH156" s="9"/>
      <c r="HI156" s="9"/>
      <c r="HJ156" s="9"/>
      <c r="HK156" s="9"/>
      <c r="HL156" s="9"/>
      <c r="HM156" s="9"/>
      <c r="HN156" s="9"/>
      <c r="HO156" s="9"/>
      <c r="HP156" s="9"/>
      <c r="HQ156" s="9"/>
      <c r="HR156" s="9"/>
      <c r="HS156" s="9"/>
      <c r="HT156" s="9"/>
      <c r="HU156" s="9"/>
      <c r="HV156" s="9"/>
      <c r="HW156" s="9"/>
      <c r="HX156" s="9"/>
      <c r="HY156" s="9"/>
      <c r="HZ156" s="9"/>
      <c r="IA156" s="9"/>
      <c r="IB156" s="9"/>
      <c r="IC156" s="9"/>
      <c r="ID156" s="9"/>
      <c r="IE156" s="9"/>
      <c r="IF156" s="9"/>
      <c r="IG156" s="9"/>
      <c r="IH156" s="9"/>
      <c r="II156" s="9"/>
      <c r="IJ156" s="9"/>
      <c r="IK156" s="9"/>
      <c r="IL156" s="9"/>
      <c r="IM156" s="9"/>
      <c r="IN156" s="9"/>
      <c r="IO156" s="9"/>
      <c r="IP156" s="9"/>
      <c r="IQ156" s="9"/>
      <c r="IR156" s="9"/>
      <c r="IS156" s="9"/>
      <c r="IT156" s="9"/>
      <c r="IU156" s="9"/>
      <c r="IV156" s="9"/>
      <c r="IW156" s="9"/>
      <c r="IX156" s="9"/>
      <c r="IY156" s="9"/>
      <c r="IZ156" s="9"/>
      <c r="JA156" s="9"/>
      <c r="JB156" s="9"/>
      <c r="JC156" s="9"/>
      <c r="JD156" s="9"/>
      <c r="JE156" s="9"/>
      <c r="JF156" s="9"/>
      <c r="JG156" s="9"/>
      <c r="JH156" s="9"/>
      <c r="JI156" s="9"/>
      <c r="JJ156" s="9"/>
      <c r="JK156" s="9"/>
      <c r="JL156" s="9"/>
      <c r="JM156" s="9"/>
      <c r="JN156" s="9"/>
      <c r="JO156" s="9"/>
      <c r="JP156" s="9"/>
      <c r="JQ156" s="9"/>
      <c r="JR156" s="9"/>
      <c r="JS156" s="9"/>
      <c r="JT156" s="9"/>
      <c r="JU156" s="9"/>
      <c r="JV156" s="9"/>
      <c r="JW156" s="9"/>
      <c r="JX156" s="9"/>
      <c r="JY156" s="9"/>
      <c r="JZ156" s="9"/>
      <c r="KA156" s="9"/>
      <c r="KB156" s="9"/>
      <c r="KC156" s="9"/>
      <c r="KD156" s="9"/>
      <c r="KE156" s="9"/>
      <c r="KF156" s="9"/>
      <c r="KG156" s="9"/>
      <c r="KH156" s="9"/>
      <c r="KI156" s="9"/>
      <c r="KJ156" s="9"/>
      <c r="KK156" s="9"/>
      <c r="KL156" s="9"/>
      <c r="KM156" s="9"/>
      <c r="KN156" s="9"/>
      <c r="KO156" s="9"/>
      <c r="KP156" s="9"/>
      <c r="KQ156" s="9"/>
      <c r="KR156" s="9"/>
      <c r="KS156" s="9"/>
      <c r="KT156" s="9"/>
      <c r="KU156" s="9"/>
      <c r="KV156" s="9"/>
      <c r="KW156" s="11"/>
      <c r="KX156" s="11"/>
    </row>
    <row r="157" s="9" customFormat="1" customHeight="1" spans="1:310">
      <c r="A157" s="28">
        <v>45962</v>
      </c>
      <c r="B157" s="30" t="s">
        <v>1022</v>
      </c>
      <c r="C157" s="32" t="s">
        <v>1057</v>
      </c>
      <c r="D157" s="32" t="s">
        <v>134</v>
      </c>
      <c r="E157" s="32" t="s">
        <v>869</v>
      </c>
      <c r="F157" s="31" t="s">
        <v>2154</v>
      </c>
      <c r="G157" s="31" t="s">
        <v>2155</v>
      </c>
      <c r="H157" s="32">
        <v>11</v>
      </c>
      <c r="I157" s="32">
        <v>2022</v>
      </c>
      <c r="J157" s="32" t="s">
        <v>2156</v>
      </c>
      <c r="K157" s="32" t="s">
        <v>1012</v>
      </c>
      <c r="L157" s="32">
        <v>1</v>
      </c>
      <c r="M157" s="29" t="s">
        <v>1013</v>
      </c>
      <c r="N157" s="29" t="s">
        <v>1014</v>
      </c>
      <c r="O157" s="32">
        <v>99</v>
      </c>
      <c r="P157" s="32" t="s">
        <v>1018</v>
      </c>
      <c r="Q157" s="32" t="s">
        <v>1016</v>
      </c>
      <c r="R157" s="32" t="s">
        <v>1017</v>
      </c>
      <c r="S157" s="49">
        <v>261.27</v>
      </c>
      <c r="T157" s="32">
        <f>93.4/3</f>
        <v>31.1333333333333</v>
      </c>
      <c r="U157" s="32">
        <v>2025.11</v>
      </c>
      <c r="V157" s="33">
        <f t="shared" si="3"/>
        <v>0.119161531493602</v>
      </c>
      <c r="W157" s="39">
        <f>7012.67/93.4/99</f>
        <v>0.75840525166007</v>
      </c>
      <c r="X157" s="39" t="s">
        <v>2157</v>
      </c>
      <c r="Y157" s="32" t="s">
        <v>1018</v>
      </c>
      <c r="Z157" s="32" t="s">
        <v>2158</v>
      </c>
      <c r="AA157" s="32" t="s">
        <v>2159</v>
      </c>
      <c r="AB157" s="40" t="s">
        <v>2160</v>
      </c>
      <c r="AC157" s="32" t="s">
        <v>65</v>
      </c>
      <c r="AD157" s="32" t="s">
        <v>1018</v>
      </c>
      <c r="AE157" s="32" t="s">
        <v>2161</v>
      </c>
      <c r="AF157" s="32"/>
      <c r="AG157" s="32"/>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3"/>
      <c r="CY157" s="13"/>
      <c r="CZ157" s="13"/>
      <c r="DA157" s="13"/>
      <c r="DB157" s="13"/>
      <c r="DC157" s="13"/>
      <c r="DD157" s="13"/>
      <c r="DE157" s="13"/>
      <c r="DF157" s="13"/>
      <c r="DG157" s="13"/>
      <c r="DH157" s="13"/>
      <c r="DI157" s="13"/>
      <c r="DJ157" s="13"/>
      <c r="DK157" s="13"/>
      <c r="DL157" s="13"/>
      <c r="DM157" s="13"/>
      <c r="DN157" s="13"/>
      <c r="DO157" s="13"/>
      <c r="DP157" s="13"/>
      <c r="DQ157" s="13"/>
      <c r="DR157" s="13"/>
      <c r="DS157" s="13"/>
      <c r="DT157" s="13"/>
      <c r="DU157" s="13"/>
      <c r="DV157" s="13"/>
      <c r="DW157" s="13"/>
      <c r="DX157" s="13"/>
      <c r="DY157" s="13"/>
      <c r="DZ157" s="13"/>
      <c r="EA157" s="13"/>
      <c r="EB157" s="13"/>
      <c r="EC157" s="13"/>
      <c r="ED157" s="13"/>
      <c r="EE157" s="13"/>
      <c r="EF157" s="13"/>
      <c r="EG157" s="13"/>
      <c r="EH157" s="13"/>
      <c r="EI157" s="13"/>
      <c r="EJ157" s="13"/>
      <c r="EK157" s="13"/>
      <c r="EL157" s="13"/>
      <c r="EM157" s="13"/>
      <c r="EN157" s="13"/>
      <c r="EO157" s="13"/>
      <c r="EP157" s="13"/>
      <c r="EQ157" s="13"/>
      <c r="ER157" s="13"/>
      <c r="ES157" s="13"/>
      <c r="ET157" s="13"/>
      <c r="EU157" s="13"/>
      <c r="EV157" s="13"/>
      <c r="EW157" s="13"/>
      <c r="EX157" s="13"/>
      <c r="EY157" s="13"/>
      <c r="EZ157" s="13"/>
      <c r="FA157" s="13"/>
      <c r="FB157" s="13"/>
      <c r="FC157" s="13"/>
      <c r="FD157" s="13"/>
      <c r="FE157" s="13"/>
      <c r="FF157" s="13"/>
      <c r="FG157" s="13"/>
      <c r="FH157" s="13"/>
      <c r="FI157" s="13"/>
      <c r="FJ157" s="13"/>
      <c r="FK157" s="13"/>
      <c r="FL157" s="13"/>
      <c r="FM157" s="13"/>
      <c r="FN157" s="13"/>
      <c r="FO157" s="13"/>
      <c r="FP157" s="13"/>
      <c r="FQ157" s="13"/>
      <c r="FR157" s="13"/>
      <c r="FS157" s="13"/>
      <c r="FT157" s="13"/>
      <c r="FU157" s="13"/>
      <c r="FV157" s="13"/>
      <c r="FW157" s="13"/>
      <c r="FX157" s="13"/>
      <c r="FY157" s="13"/>
      <c r="FZ157" s="13"/>
      <c r="GA157" s="13"/>
      <c r="GB157" s="13"/>
      <c r="GC157" s="13"/>
      <c r="GD157" s="13"/>
      <c r="GE157" s="13"/>
      <c r="GF157" s="13"/>
      <c r="GG157" s="13"/>
      <c r="GH157" s="13"/>
      <c r="GI157" s="13"/>
      <c r="GJ157" s="13"/>
      <c r="GK157" s="13"/>
      <c r="GL157" s="13"/>
      <c r="GM157" s="13"/>
      <c r="GN157" s="13"/>
      <c r="GO157" s="13"/>
      <c r="GP157" s="13"/>
      <c r="GQ157" s="13"/>
      <c r="GR157" s="13"/>
      <c r="GS157" s="13"/>
      <c r="GT157" s="13"/>
      <c r="GU157" s="13"/>
      <c r="GV157" s="13"/>
      <c r="GW157" s="13"/>
      <c r="GX157" s="13"/>
      <c r="GY157" s="13"/>
      <c r="GZ157" s="13"/>
      <c r="HA157" s="13"/>
      <c r="HB157" s="13"/>
      <c r="HC157" s="13"/>
      <c r="HD157" s="13"/>
      <c r="HE157" s="13"/>
      <c r="HF157" s="13"/>
      <c r="HG157" s="13"/>
      <c r="HH157" s="13"/>
      <c r="HI157" s="13"/>
      <c r="HJ157" s="13"/>
      <c r="HK157" s="13"/>
      <c r="HL157" s="13"/>
      <c r="HM157" s="13"/>
      <c r="HN157" s="13"/>
      <c r="HO157" s="13"/>
      <c r="HP157" s="13"/>
      <c r="HQ157" s="13"/>
      <c r="HR157" s="13"/>
      <c r="HS157" s="13"/>
      <c r="HT157" s="13"/>
      <c r="HU157" s="13"/>
      <c r="HV157" s="13"/>
      <c r="HW157" s="13"/>
      <c r="HX157" s="13"/>
      <c r="HY157" s="13"/>
      <c r="HZ157" s="13"/>
      <c r="IA157" s="13"/>
      <c r="IB157" s="13"/>
      <c r="IC157" s="13"/>
      <c r="ID157" s="13"/>
      <c r="IE157" s="13"/>
      <c r="IF157" s="13"/>
      <c r="IG157" s="13"/>
      <c r="IH157" s="13"/>
      <c r="II157" s="10"/>
      <c r="IJ157" s="13"/>
      <c r="IK157" s="13"/>
      <c r="IL157" s="13"/>
      <c r="IM157" s="13"/>
      <c r="IN157" s="13"/>
      <c r="IO157" s="13"/>
      <c r="IP157" s="13"/>
      <c r="IQ157" s="13"/>
      <c r="IR157" s="13"/>
      <c r="IS157" s="13"/>
      <c r="IT157" s="13"/>
      <c r="IU157" s="13"/>
      <c r="IV157" s="13"/>
      <c r="IW157" s="13"/>
      <c r="IX157" s="13"/>
      <c r="IY157" s="13"/>
      <c r="IZ157" s="13"/>
      <c r="JA157" s="13"/>
      <c r="JB157" s="13"/>
      <c r="JC157" s="13"/>
      <c r="JD157" s="13"/>
      <c r="JE157" s="13"/>
      <c r="JF157" s="13"/>
      <c r="JG157" s="13"/>
      <c r="JH157" s="13"/>
      <c r="JI157" s="13"/>
      <c r="JJ157" s="13"/>
      <c r="JK157" s="13"/>
      <c r="JL157" s="13"/>
      <c r="JM157" s="13"/>
      <c r="JN157" s="13"/>
      <c r="JO157" s="13"/>
      <c r="JP157" s="13"/>
      <c r="JQ157" s="13"/>
      <c r="JR157" s="13"/>
      <c r="JS157" s="13"/>
      <c r="JT157" s="13"/>
      <c r="JU157" s="13"/>
      <c r="JV157" s="13"/>
      <c r="JW157" s="13"/>
      <c r="JX157" s="13"/>
      <c r="JY157" s="13"/>
      <c r="JZ157" s="13"/>
      <c r="KA157" s="13"/>
      <c r="KB157" s="13"/>
      <c r="KC157" s="13"/>
      <c r="KD157" s="13"/>
      <c r="KE157" s="13"/>
      <c r="KF157" s="13"/>
      <c r="KG157" s="13"/>
      <c r="KH157" s="13"/>
      <c r="KI157" s="13"/>
      <c r="KJ157" s="13"/>
      <c r="KK157" s="13"/>
      <c r="KL157" s="13"/>
      <c r="KM157" s="13"/>
      <c r="KN157" s="13"/>
      <c r="KO157" s="13"/>
      <c r="KP157" s="13"/>
      <c r="KQ157" s="13"/>
      <c r="KR157" s="13"/>
      <c r="KS157" s="13"/>
      <c r="KT157" s="13"/>
      <c r="KU157" s="13"/>
      <c r="KV157" s="13"/>
      <c r="KW157" s="11"/>
      <c r="KX157" s="11"/>
    </row>
    <row r="158" s="11" customFormat="1" customHeight="1" spans="1:310">
      <c r="A158" s="28">
        <v>45962</v>
      </c>
      <c r="B158" s="30" t="s">
        <v>1022</v>
      </c>
      <c r="C158" s="30" t="s">
        <v>1032</v>
      </c>
      <c r="D158" s="30" t="s">
        <v>134</v>
      </c>
      <c r="E158" s="30" t="s">
        <v>381</v>
      </c>
      <c r="F158" s="31" t="s">
        <v>2162</v>
      </c>
      <c r="G158" s="31" t="s">
        <v>2163</v>
      </c>
      <c r="H158" s="30">
        <v>11</v>
      </c>
      <c r="I158" s="30">
        <v>2020</v>
      </c>
      <c r="J158" s="30" t="s">
        <v>2164</v>
      </c>
      <c r="K158" s="30" t="s">
        <v>2116</v>
      </c>
      <c r="L158" s="30">
        <v>2</v>
      </c>
      <c r="M158" s="29" t="s">
        <v>2165</v>
      </c>
      <c r="N158" s="29" t="s">
        <v>2166</v>
      </c>
      <c r="O158" s="30" t="s">
        <v>2167</v>
      </c>
      <c r="P158" s="30" t="s">
        <v>1016</v>
      </c>
      <c r="Q158" s="30" t="s">
        <v>1018</v>
      </c>
      <c r="R158" s="30" t="s">
        <v>1017</v>
      </c>
      <c r="S158" s="29">
        <v>285.51</v>
      </c>
      <c r="T158" s="29">
        <v>50</v>
      </c>
      <c r="U158" s="29">
        <v>2023.12</v>
      </c>
      <c r="V158" s="33">
        <f t="shared" si="3"/>
        <v>0.175125214528388</v>
      </c>
      <c r="W158" s="74"/>
      <c r="X158" s="74"/>
      <c r="Y158" s="30" t="s">
        <v>2168</v>
      </c>
      <c r="Z158" s="30" t="s">
        <v>2169</v>
      </c>
      <c r="AA158" s="30" t="s">
        <v>36</v>
      </c>
      <c r="AB158" s="61">
        <v>0.4</v>
      </c>
      <c r="AC158" s="30" t="s">
        <v>37</v>
      </c>
      <c r="AD158" s="30" t="s">
        <v>2170</v>
      </c>
      <c r="AE158" s="30"/>
      <c r="AF158" s="30"/>
      <c r="AG158" s="41" t="s">
        <v>2171</v>
      </c>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Q158" s="11" t="s">
        <v>2172</v>
      </c>
      <c r="II158" s="10"/>
      <c r="IJ158" s="12"/>
      <c r="IK158" s="12"/>
      <c r="IL158" s="12"/>
      <c r="IM158" s="12"/>
      <c r="IN158" s="12"/>
      <c r="IO158" s="12"/>
      <c r="IP158" s="12"/>
      <c r="IQ158" s="12"/>
      <c r="IR158" s="12"/>
      <c r="IS158" s="12"/>
      <c r="IT158" s="12"/>
      <c r="IU158" s="12"/>
      <c r="IV158" s="12"/>
      <c r="IW158" s="12"/>
      <c r="IX158" s="12"/>
      <c r="IY158" s="12"/>
      <c r="IZ158" s="12"/>
      <c r="JA158" s="12"/>
      <c r="JB158" s="12"/>
      <c r="JC158" s="12"/>
      <c r="JD158" s="12"/>
      <c r="JE158" s="12"/>
      <c r="JF158" s="12"/>
      <c r="JG158" s="12"/>
      <c r="JH158" s="12"/>
      <c r="JI158" s="12"/>
      <c r="JJ158" s="12"/>
      <c r="JK158" s="12"/>
      <c r="JL158" s="12"/>
      <c r="JM158" s="12"/>
      <c r="JN158" s="12"/>
      <c r="JO158" s="12"/>
      <c r="JP158" s="12"/>
      <c r="JQ158" s="12"/>
      <c r="JR158" s="12"/>
      <c r="JS158" s="12"/>
      <c r="JT158" s="12"/>
      <c r="JU158" s="12"/>
      <c r="JV158" s="12"/>
      <c r="JW158" s="12"/>
      <c r="JX158" s="12"/>
      <c r="JY158" s="12"/>
      <c r="JZ158" s="12"/>
      <c r="KA158" s="12"/>
      <c r="KB158" s="12"/>
      <c r="KC158" s="12"/>
      <c r="KD158" s="12"/>
      <c r="KE158" s="12"/>
      <c r="KF158" s="12"/>
      <c r="KG158" s="12"/>
      <c r="KH158" s="12"/>
      <c r="KI158" s="12"/>
      <c r="KJ158" s="12"/>
      <c r="KK158" s="12"/>
      <c r="KL158" s="12"/>
      <c r="KM158" s="12"/>
      <c r="KN158" s="12"/>
      <c r="KO158" s="12"/>
      <c r="KP158" s="12"/>
      <c r="KQ158" s="12"/>
      <c r="KR158" s="12"/>
      <c r="KS158" s="12"/>
      <c r="KT158" s="12"/>
      <c r="KU158" s="12"/>
      <c r="KV158" s="12"/>
      <c r="KW158" s="12"/>
      <c r="KX158" s="12"/>
    </row>
    <row r="159" s="11" customFormat="1" customHeight="1" spans="1:310">
      <c r="A159" s="28">
        <v>45962</v>
      </c>
      <c r="B159" s="30" t="s">
        <v>1022</v>
      </c>
      <c r="C159" s="32" t="s">
        <v>1032</v>
      </c>
      <c r="D159" s="32" t="s">
        <v>134</v>
      </c>
      <c r="E159" s="32" t="s">
        <v>381</v>
      </c>
      <c r="F159" s="31" t="s">
        <v>408</v>
      </c>
      <c r="G159" s="31" t="s">
        <v>409</v>
      </c>
      <c r="H159" s="32">
        <v>11</v>
      </c>
      <c r="I159" s="32">
        <v>2020</v>
      </c>
      <c r="J159" s="36" t="s">
        <v>2173</v>
      </c>
      <c r="K159" s="36" t="s">
        <v>1126</v>
      </c>
      <c r="L159" s="32">
        <v>1</v>
      </c>
      <c r="M159" s="29" t="s">
        <v>1013</v>
      </c>
      <c r="N159" s="29" t="s">
        <v>1014</v>
      </c>
      <c r="O159" s="32" t="s">
        <v>1350</v>
      </c>
      <c r="P159" s="32" t="s">
        <v>1018</v>
      </c>
      <c r="Q159" s="32" t="s">
        <v>1018</v>
      </c>
      <c r="R159" s="32" t="s">
        <v>2174</v>
      </c>
      <c r="S159" s="32">
        <v>283.77</v>
      </c>
      <c r="T159" s="32">
        <v>50</v>
      </c>
      <c r="U159" s="32" t="s">
        <v>1191</v>
      </c>
      <c r="V159" s="33">
        <f t="shared" si="3"/>
        <v>0.176199034429291</v>
      </c>
      <c r="W159" s="39"/>
      <c r="X159" s="39"/>
      <c r="Y159" s="32" t="s">
        <v>2168</v>
      </c>
      <c r="Z159" s="32" t="s">
        <v>2175</v>
      </c>
      <c r="AA159" s="32" t="s">
        <v>36</v>
      </c>
      <c r="AB159" s="40">
        <v>0.6</v>
      </c>
      <c r="AC159" s="32" t="s">
        <v>37</v>
      </c>
      <c r="AD159" s="32" t="s">
        <v>2125</v>
      </c>
      <c r="AE159" s="32"/>
      <c r="AF159" s="32"/>
      <c r="AG159" s="32"/>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9"/>
      <c r="GB159" s="9"/>
      <c r="GC159" s="9"/>
      <c r="GD159" s="9"/>
      <c r="GE159" s="9"/>
      <c r="GF159" s="9"/>
      <c r="GG159" s="9"/>
      <c r="GH159" s="9"/>
      <c r="GI159" s="9"/>
      <c r="GJ159" s="9"/>
      <c r="GK159" s="9"/>
      <c r="GL159" s="9"/>
      <c r="GM159" s="9"/>
      <c r="GN159" s="9"/>
      <c r="GO159" s="9"/>
      <c r="GP159" s="9"/>
      <c r="GQ159" s="9"/>
      <c r="GR159" s="9"/>
      <c r="GS159" s="9"/>
      <c r="GT159" s="9"/>
      <c r="GU159" s="9"/>
      <c r="GV159" s="9"/>
      <c r="GW159" s="9"/>
      <c r="GX159" s="9"/>
      <c r="GY159" s="9"/>
      <c r="GZ159" s="9"/>
      <c r="HA159" s="9"/>
      <c r="HB159" s="9"/>
      <c r="HC159" s="9"/>
      <c r="HD159" s="9"/>
      <c r="HE159" s="9"/>
      <c r="HF159" s="9"/>
      <c r="HG159" s="9"/>
      <c r="HH159" s="9"/>
      <c r="HI159" s="9"/>
      <c r="HJ159" s="9"/>
      <c r="HK159" s="9"/>
      <c r="HL159" s="9"/>
      <c r="HM159" s="9"/>
      <c r="HN159" s="9"/>
      <c r="HO159" s="9"/>
      <c r="HP159" s="9"/>
      <c r="HQ159" s="9"/>
      <c r="HR159" s="9"/>
      <c r="HS159" s="9"/>
      <c r="HT159" s="9"/>
      <c r="HU159" s="9"/>
      <c r="HV159" s="9"/>
      <c r="HW159" s="9"/>
      <c r="HX159" s="9"/>
      <c r="HY159" s="9"/>
      <c r="HZ159" s="9"/>
      <c r="IA159" s="9"/>
      <c r="IB159" s="9"/>
      <c r="IC159" s="9"/>
      <c r="ID159" s="9"/>
      <c r="IE159" s="9"/>
      <c r="IF159" s="9"/>
      <c r="IG159" s="9"/>
      <c r="IH159" s="9"/>
      <c r="II159" s="16"/>
      <c r="KW159" s="21"/>
      <c r="KX159" s="21"/>
    </row>
    <row r="160" s="13" customFormat="1" customHeight="1" spans="1:310">
      <c r="A160" s="28">
        <v>45962</v>
      </c>
      <c r="B160" s="30" t="s">
        <v>1022</v>
      </c>
      <c r="C160" s="51" t="s">
        <v>1032</v>
      </c>
      <c r="D160" s="32" t="s">
        <v>134</v>
      </c>
      <c r="E160" s="32" t="s">
        <v>381</v>
      </c>
      <c r="F160" s="31" t="s">
        <v>2176</v>
      </c>
      <c r="G160" s="31" t="s">
        <v>2177</v>
      </c>
      <c r="H160" s="32">
        <v>11</v>
      </c>
      <c r="I160" s="32">
        <v>2021</v>
      </c>
      <c r="J160" s="36" t="s">
        <v>2178</v>
      </c>
      <c r="K160" s="36" t="s">
        <v>1198</v>
      </c>
      <c r="L160" s="32">
        <v>1</v>
      </c>
      <c r="M160" s="36" t="s">
        <v>1199</v>
      </c>
      <c r="N160" s="36" t="s">
        <v>1012</v>
      </c>
      <c r="O160" s="32" t="s">
        <v>2179</v>
      </c>
      <c r="P160" s="32" t="s">
        <v>1018</v>
      </c>
      <c r="Q160" s="32" t="s">
        <v>1018</v>
      </c>
      <c r="R160" s="32" t="s">
        <v>1039</v>
      </c>
      <c r="S160" s="32">
        <v>260.3</v>
      </c>
      <c r="T160" s="32">
        <v>40</v>
      </c>
      <c r="U160" s="32" t="s">
        <v>2180</v>
      </c>
      <c r="V160" s="33">
        <f t="shared" si="3"/>
        <v>0.153668843641952</v>
      </c>
      <c r="W160" s="39"/>
      <c r="X160" s="39" t="s">
        <v>2181</v>
      </c>
      <c r="Y160" s="32" t="s">
        <v>1933</v>
      </c>
      <c r="Z160" s="32" t="s">
        <v>2182</v>
      </c>
      <c r="AA160" s="32" t="s">
        <v>36</v>
      </c>
      <c r="AB160" s="40">
        <v>0.6</v>
      </c>
      <c r="AC160" s="32" t="s">
        <v>37</v>
      </c>
      <c r="AD160" s="32" t="s">
        <v>1018</v>
      </c>
      <c r="AE160" s="32" t="s">
        <v>2183</v>
      </c>
      <c r="AF160" s="32"/>
      <c r="AG160" s="3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c r="DN160" s="9"/>
      <c r="DO160" s="9"/>
      <c r="DP160" s="9"/>
      <c r="DQ160" s="9"/>
      <c r="DR160" s="9"/>
      <c r="DS160" s="9"/>
      <c r="DT160" s="9"/>
      <c r="DU160" s="9"/>
      <c r="DV160" s="9"/>
      <c r="DW160" s="9"/>
      <c r="DX160" s="9"/>
      <c r="DY160" s="9"/>
      <c r="DZ160" s="9"/>
      <c r="EA160" s="9"/>
      <c r="EB160" s="9"/>
      <c r="EC160" s="9"/>
      <c r="ED160" s="9"/>
      <c r="EE160" s="9"/>
      <c r="EF160" s="9"/>
      <c r="EG160" s="9"/>
      <c r="EH160" s="9"/>
      <c r="EI160" s="9"/>
      <c r="EJ160" s="9"/>
      <c r="EK160" s="9"/>
      <c r="EL160" s="9"/>
      <c r="EM160" s="9"/>
      <c r="EN160" s="9"/>
      <c r="EO160" s="9"/>
      <c r="EP160" s="9"/>
      <c r="EQ160" s="9"/>
      <c r="ER160" s="9"/>
      <c r="ES160" s="9"/>
      <c r="ET160" s="9"/>
      <c r="EU160" s="9"/>
      <c r="EV160" s="9"/>
      <c r="EW160" s="9"/>
      <c r="EX160" s="9"/>
      <c r="EY160" s="9"/>
      <c r="EZ160" s="9"/>
      <c r="FA160" s="9"/>
      <c r="FB160" s="9"/>
      <c r="FC160" s="9"/>
      <c r="FD160" s="9"/>
      <c r="FE160" s="9"/>
      <c r="FF160" s="9"/>
      <c r="FG160" s="9"/>
      <c r="FH160" s="9"/>
      <c r="FI160" s="9"/>
      <c r="FJ160" s="9"/>
      <c r="FK160" s="9"/>
      <c r="FL160" s="9"/>
      <c r="FM160" s="9"/>
      <c r="FN160" s="9"/>
      <c r="FO160" s="9"/>
      <c r="FP160" s="9"/>
      <c r="FQ160" s="9"/>
      <c r="FR160" s="9"/>
      <c r="FS160" s="9"/>
      <c r="FT160" s="9"/>
      <c r="FU160" s="9"/>
      <c r="FV160" s="9"/>
      <c r="FW160" s="9"/>
      <c r="FX160" s="9"/>
      <c r="FY160" s="9"/>
      <c r="FZ160" s="9"/>
      <c r="GA160" s="9"/>
      <c r="GB160" s="9"/>
      <c r="GC160" s="9"/>
      <c r="GD160" s="9"/>
      <c r="GE160" s="9"/>
      <c r="GF160" s="9"/>
      <c r="GG160" s="9"/>
      <c r="GH160" s="9"/>
      <c r="GI160" s="9"/>
      <c r="GJ160" s="9"/>
      <c r="GK160" s="9"/>
      <c r="GL160" s="9"/>
      <c r="GM160" s="9"/>
      <c r="GN160" s="9"/>
      <c r="GO160" s="9"/>
      <c r="GP160" s="9"/>
      <c r="GQ160" s="9"/>
      <c r="GR160" s="9"/>
      <c r="GS160" s="9"/>
      <c r="GT160" s="9"/>
      <c r="GU160" s="9"/>
      <c r="GV160" s="9"/>
      <c r="GW160" s="9"/>
      <c r="GX160" s="9"/>
      <c r="GY160" s="9"/>
      <c r="GZ160" s="9"/>
      <c r="HA160" s="9"/>
      <c r="HB160" s="9"/>
      <c r="HC160" s="9"/>
      <c r="HD160" s="9"/>
      <c r="HE160" s="9"/>
      <c r="HF160" s="9"/>
      <c r="HG160" s="9"/>
      <c r="HH160" s="9"/>
      <c r="HI160" s="9"/>
      <c r="HJ160" s="9"/>
      <c r="HK160" s="9"/>
      <c r="HL160" s="9"/>
      <c r="HM160" s="9"/>
      <c r="HN160" s="9"/>
      <c r="HO160" s="9"/>
      <c r="HP160" s="9"/>
      <c r="HQ160" s="9"/>
      <c r="HR160" s="9"/>
      <c r="HS160" s="9"/>
      <c r="HT160" s="9"/>
      <c r="HU160" s="9"/>
      <c r="HV160" s="9"/>
      <c r="HW160" s="9"/>
      <c r="HX160" s="9"/>
      <c r="HY160" s="9"/>
      <c r="HZ160" s="9"/>
      <c r="IA160" s="9"/>
      <c r="IB160" s="9"/>
      <c r="IC160" s="9"/>
      <c r="ID160" s="9"/>
      <c r="IE160" s="9"/>
      <c r="IF160" s="9"/>
      <c r="IG160" s="9"/>
      <c r="IH160" s="9"/>
      <c r="II160" s="9"/>
      <c r="IJ160" s="9"/>
      <c r="IK160" s="9"/>
      <c r="IL160" s="9"/>
      <c r="IM160" s="9"/>
      <c r="IN160" s="9"/>
      <c r="IO160" s="9"/>
      <c r="IP160" s="9"/>
      <c r="IQ160" s="9"/>
      <c r="IR160" s="9"/>
      <c r="IS160" s="9"/>
      <c r="IT160" s="9"/>
      <c r="IU160" s="9"/>
      <c r="IV160" s="9"/>
      <c r="IW160" s="9"/>
      <c r="IX160" s="9"/>
      <c r="IY160" s="9"/>
      <c r="IZ160" s="9"/>
      <c r="JA160" s="9"/>
      <c r="JB160" s="9"/>
      <c r="JC160" s="9"/>
      <c r="JD160" s="9"/>
      <c r="JE160" s="9"/>
      <c r="JF160" s="9"/>
      <c r="JG160" s="9"/>
      <c r="JH160" s="9"/>
      <c r="JI160" s="9"/>
      <c r="JJ160" s="9"/>
      <c r="JK160" s="9"/>
      <c r="JL160" s="9"/>
      <c r="JM160" s="9"/>
      <c r="JN160" s="9"/>
      <c r="JO160" s="9"/>
      <c r="JP160" s="9"/>
      <c r="JQ160" s="9"/>
      <c r="JR160" s="9"/>
      <c r="JS160" s="9"/>
      <c r="JT160" s="9"/>
      <c r="JU160" s="9"/>
      <c r="JV160" s="9"/>
      <c r="JW160" s="9"/>
      <c r="JX160" s="9"/>
      <c r="JY160" s="9"/>
      <c r="JZ160" s="9"/>
      <c r="KA160" s="9"/>
      <c r="KB160" s="9"/>
      <c r="KC160" s="9"/>
      <c r="KD160" s="9"/>
      <c r="KE160" s="9"/>
      <c r="KF160" s="9"/>
      <c r="KG160" s="9"/>
      <c r="KH160" s="9"/>
      <c r="KI160" s="9"/>
      <c r="KJ160" s="9"/>
      <c r="KK160" s="9"/>
      <c r="KL160" s="9"/>
      <c r="KM160" s="9"/>
      <c r="KN160" s="9"/>
      <c r="KO160" s="9"/>
      <c r="KP160" s="9"/>
      <c r="KQ160" s="9"/>
      <c r="KR160" s="9"/>
      <c r="KS160" s="9"/>
      <c r="KT160" s="9"/>
      <c r="KU160" s="9"/>
      <c r="KV160" s="9"/>
      <c r="KW160" s="9"/>
      <c r="KX160" s="9"/>
    </row>
    <row r="161" s="9" customFormat="1" customHeight="1" spans="1:310">
      <c r="A161" s="28">
        <v>45962</v>
      </c>
      <c r="B161" s="30" t="s">
        <v>1022</v>
      </c>
      <c r="C161" s="32" t="s">
        <v>1032</v>
      </c>
      <c r="D161" s="32" t="s">
        <v>134</v>
      </c>
      <c r="E161" s="32" t="s">
        <v>381</v>
      </c>
      <c r="F161" s="31" t="s">
        <v>2184</v>
      </c>
      <c r="G161" s="31" t="s">
        <v>2185</v>
      </c>
      <c r="H161" s="30">
        <v>11</v>
      </c>
      <c r="I161" s="32">
        <v>2021</v>
      </c>
      <c r="J161" s="36" t="s">
        <v>2095</v>
      </c>
      <c r="K161" s="59" t="s">
        <v>1012</v>
      </c>
      <c r="L161" s="32">
        <v>1</v>
      </c>
      <c r="M161" s="29" t="s">
        <v>1013</v>
      </c>
      <c r="N161" s="29" t="s">
        <v>1014</v>
      </c>
      <c r="O161" s="32">
        <v>96</v>
      </c>
      <c r="P161" s="32" t="s">
        <v>1018</v>
      </c>
      <c r="Q161" s="32" t="s">
        <v>1018</v>
      </c>
      <c r="R161" s="32" t="s">
        <v>1039</v>
      </c>
      <c r="S161" s="32">
        <v>550.2</v>
      </c>
      <c r="T161" s="32">
        <v>71</v>
      </c>
      <c r="U161" s="32" t="s">
        <v>1923</v>
      </c>
      <c r="V161" s="33">
        <f t="shared" si="3"/>
        <v>0.129043984005816</v>
      </c>
      <c r="W161" s="39"/>
      <c r="X161" s="39"/>
      <c r="Y161" s="32" t="s">
        <v>1174</v>
      </c>
      <c r="Z161" s="32" t="s">
        <v>2186</v>
      </c>
      <c r="AA161" s="30" t="s">
        <v>36</v>
      </c>
      <c r="AB161" s="40" t="s">
        <v>2187</v>
      </c>
      <c r="AC161" s="32" t="s">
        <v>2188</v>
      </c>
      <c r="AD161" s="32" t="s">
        <v>1018</v>
      </c>
      <c r="AE161" s="32"/>
      <c r="AF161" s="32"/>
      <c r="AG161" s="32" t="s">
        <v>2189</v>
      </c>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c r="GS161" s="12"/>
      <c r="GT161" s="12"/>
      <c r="GU161" s="12"/>
      <c r="GV161" s="12"/>
      <c r="GW161" s="12"/>
      <c r="GX161" s="12"/>
      <c r="GY161" s="12"/>
      <c r="GZ161" s="12"/>
      <c r="HA161" s="12"/>
      <c r="HB161" s="12"/>
      <c r="HC161" s="12"/>
      <c r="HD161" s="12"/>
      <c r="HE161" s="12"/>
      <c r="HF161" s="12"/>
      <c r="HG161" s="12"/>
      <c r="HH161" s="12"/>
      <c r="HI161" s="12"/>
      <c r="HJ161" s="12"/>
      <c r="HK161" s="12"/>
      <c r="HL161" s="12"/>
      <c r="HM161" s="12"/>
      <c r="HN161" s="12"/>
      <c r="HO161" s="12"/>
      <c r="HP161" s="12"/>
      <c r="HQ161" s="12"/>
      <c r="HR161" s="12"/>
      <c r="HS161" s="12"/>
      <c r="HT161" s="12"/>
      <c r="HU161" s="12"/>
      <c r="HV161" s="12"/>
      <c r="HW161" s="12"/>
      <c r="HX161" s="12"/>
      <c r="HY161" s="12"/>
      <c r="HZ161" s="12"/>
      <c r="IA161" s="12"/>
      <c r="IB161" s="12"/>
      <c r="IC161" s="12"/>
      <c r="ID161" s="12"/>
      <c r="IE161" s="12"/>
      <c r="IF161" s="12"/>
      <c r="IG161" s="12"/>
      <c r="IH161" s="12"/>
      <c r="II161" s="13"/>
      <c r="IJ161" s="10"/>
      <c r="IK161" s="10"/>
      <c r="IL161" s="10"/>
      <c r="IM161" s="10"/>
      <c r="IN161" s="10"/>
      <c r="IO161" s="10"/>
      <c r="IP161" s="10"/>
      <c r="IQ161" s="10"/>
      <c r="IR161" s="10"/>
      <c r="IS161" s="10"/>
      <c r="IT161" s="10"/>
      <c r="IU161" s="10"/>
      <c r="IV161" s="10"/>
      <c r="IW161" s="10"/>
      <c r="IX161" s="10"/>
      <c r="IY161" s="10"/>
      <c r="IZ161" s="10"/>
      <c r="JA161" s="10"/>
      <c r="JB161" s="10"/>
      <c r="JC161" s="10"/>
      <c r="JD161" s="10"/>
      <c r="JE161" s="10"/>
      <c r="JF161" s="10"/>
      <c r="JG161" s="10"/>
      <c r="JH161" s="10"/>
      <c r="JI161" s="10"/>
      <c r="JJ161" s="10"/>
      <c r="JK161" s="10"/>
      <c r="JL161" s="10"/>
      <c r="JM161" s="10"/>
      <c r="JN161" s="10"/>
      <c r="JO161" s="10"/>
      <c r="JP161" s="10"/>
      <c r="JQ161" s="10"/>
      <c r="JR161" s="10"/>
      <c r="JS161" s="10"/>
      <c r="JT161" s="10"/>
      <c r="JU161" s="10"/>
      <c r="JV161" s="10"/>
      <c r="JW161" s="10"/>
      <c r="JX161" s="10"/>
      <c r="JY161" s="10"/>
      <c r="JZ161" s="10"/>
      <c r="KA161" s="10"/>
      <c r="KB161" s="10"/>
      <c r="KC161" s="10"/>
      <c r="KD161" s="10"/>
      <c r="KE161" s="10"/>
      <c r="KF161" s="10"/>
      <c r="KG161" s="10"/>
      <c r="KH161" s="10"/>
      <c r="KI161" s="10"/>
      <c r="KJ161" s="10"/>
      <c r="KK161" s="10"/>
      <c r="KL161" s="10"/>
      <c r="KM161" s="10"/>
      <c r="KN161" s="10"/>
      <c r="KO161" s="10"/>
      <c r="KP161" s="10"/>
      <c r="KQ161" s="10"/>
      <c r="KR161" s="10"/>
      <c r="KS161" s="10"/>
      <c r="KT161" s="10"/>
      <c r="KU161" s="10"/>
      <c r="KV161" s="10"/>
    </row>
    <row r="162" s="9" customFormat="1" customHeight="1" spans="1:310">
      <c r="A162" s="28">
        <v>45962</v>
      </c>
      <c r="B162" s="30" t="s">
        <v>1022</v>
      </c>
      <c r="C162" s="51" t="s">
        <v>1150</v>
      </c>
      <c r="D162" s="51" t="s">
        <v>134</v>
      </c>
      <c r="E162" s="51" t="s">
        <v>114</v>
      </c>
      <c r="F162" s="31" t="s">
        <v>202</v>
      </c>
      <c r="G162" s="31" t="s">
        <v>2190</v>
      </c>
      <c r="H162" s="51">
        <v>11</v>
      </c>
      <c r="I162" s="51">
        <v>2021</v>
      </c>
      <c r="J162" s="36" t="s">
        <v>2173</v>
      </c>
      <c r="K162" s="36" t="s">
        <v>2116</v>
      </c>
      <c r="L162" s="51">
        <v>1</v>
      </c>
      <c r="M162" s="29" t="s">
        <v>1013</v>
      </c>
      <c r="N162" s="29" t="s">
        <v>1014</v>
      </c>
      <c r="O162" s="51" t="s">
        <v>2191</v>
      </c>
      <c r="P162" s="51" t="s">
        <v>1018</v>
      </c>
      <c r="Q162" s="51" t="s">
        <v>1016</v>
      </c>
      <c r="R162" s="51" t="s">
        <v>1017</v>
      </c>
      <c r="S162" s="60">
        <v>321.04</v>
      </c>
      <c r="T162" s="29">
        <v>50</v>
      </c>
      <c r="U162" s="29" t="s">
        <v>2192</v>
      </c>
      <c r="V162" s="54">
        <v>0.156</v>
      </c>
      <c r="W162" s="51" t="s">
        <v>1068</v>
      </c>
      <c r="X162" s="51" t="s">
        <v>1068</v>
      </c>
      <c r="Y162" s="51" t="s">
        <v>1018</v>
      </c>
      <c r="Z162" s="51" t="s">
        <v>2193</v>
      </c>
      <c r="AA162" s="51" t="s">
        <v>378</v>
      </c>
      <c r="AB162" s="51" t="s">
        <v>2194</v>
      </c>
      <c r="AC162" s="51" t="s">
        <v>2195</v>
      </c>
      <c r="AD162" s="51" t="s">
        <v>1018</v>
      </c>
      <c r="AE162" s="51"/>
      <c r="AF162" s="51"/>
      <c r="AG162" s="41" t="s">
        <v>2143</v>
      </c>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row>
    <row r="163" s="9" customFormat="1" customHeight="1" spans="1:310">
      <c r="A163" s="28">
        <v>45962</v>
      </c>
      <c r="B163" s="30" t="s">
        <v>1022</v>
      </c>
      <c r="C163" s="29" t="s">
        <v>1023</v>
      </c>
      <c r="D163" s="29" t="s">
        <v>134</v>
      </c>
      <c r="E163" s="29" t="s">
        <v>924</v>
      </c>
      <c r="F163" s="31" t="s">
        <v>2196</v>
      </c>
      <c r="G163" s="31" t="s">
        <v>2197</v>
      </c>
      <c r="H163" s="29">
        <v>11</v>
      </c>
      <c r="I163" s="29">
        <v>2022</v>
      </c>
      <c r="J163" s="30" t="s">
        <v>2128</v>
      </c>
      <c r="K163" s="59" t="s">
        <v>1012</v>
      </c>
      <c r="L163" s="29">
        <v>1</v>
      </c>
      <c r="M163" s="29" t="s">
        <v>1013</v>
      </c>
      <c r="N163" s="29" t="s">
        <v>1014</v>
      </c>
      <c r="O163" s="29" t="s">
        <v>2198</v>
      </c>
      <c r="P163" s="29" t="s">
        <v>1018</v>
      </c>
      <c r="Q163" s="29" t="s">
        <v>1016</v>
      </c>
      <c r="R163" s="29" t="s">
        <v>1039</v>
      </c>
      <c r="S163" s="51">
        <v>237.2</v>
      </c>
      <c r="T163" s="51">
        <f>69/4</f>
        <v>17.25</v>
      </c>
      <c r="U163" s="29">
        <v>2025.11</v>
      </c>
      <c r="V163" s="33">
        <f>T163/S163</f>
        <v>0.0727234401349073</v>
      </c>
      <c r="W163" s="34">
        <f>4933/62.69/105</f>
        <v>0.749417010383672</v>
      </c>
      <c r="X163" s="34" t="s">
        <v>2199</v>
      </c>
      <c r="Y163" s="29" t="s">
        <v>1018</v>
      </c>
      <c r="Z163" s="29" t="s">
        <v>2200</v>
      </c>
      <c r="AA163" s="29" t="s">
        <v>2201</v>
      </c>
      <c r="AB163" s="29" t="s">
        <v>2202</v>
      </c>
      <c r="AC163" s="29" t="s">
        <v>2203</v>
      </c>
      <c r="AD163" s="51" t="s">
        <v>1018</v>
      </c>
      <c r="AE163" s="51"/>
      <c r="AF163" s="51"/>
      <c r="AG163" s="41" t="s">
        <v>2143</v>
      </c>
      <c r="II163" s="12"/>
      <c r="KW163" s="12"/>
      <c r="KX163" s="12"/>
    </row>
    <row r="164" s="9" customFormat="1" customHeight="1" spans="1:310">
      <c r="A164" s="28">
        <v>45962</v>
      </c>
      <c r="B164" s="30" t="s">
        <v>1022</v>
      </c>
      <c r="C164" s="51" t="s">
        <v>1032</v>
      </c>
      <c r="D164" s="51" t="s">
        <v>134</v>
      </c>
      <c r="E164" s="51" t="s">
        <v>381</v>
      </c>
      <c r="F164" s="31" t="s">
        <v>507</v>
      </c>
      <c r="G164" s="31" t="s">
        <v>2204</v>
      </c>
      <c r="H164" s="51">
        <v>11</v>
      </c>
      <c r="I164" s="51">
        <v>2020</v>
      </c>
      <c r="J164" s="51" t="s">
        <v>2205</v>
      </c>
      <c r="K164" s="51" t="s">
        <v>1012</v>
      </c>
      <c r="L164" s="51">
        <v>1</v>
      </c>
      <c r="M164" s="29" t="s">
        <v>1013</v>
      </c>
      <c r="N164" s="29" t="s">
        <v>1014</v>
      </c>
      <c r="O164" s="51" t="s">
        <v>2206</v>
      </c>
      <c r="P164" s="51" t="s">
        <v>1018</v>
      </c>
      <c r="Q164" s="51" t="s">
        <v>1018</v>
      </c>
      <c r="R164" s="51" t="s">
        <v>1039</v>
      </c>
      <c r="S164" s="29">
        <v>617.41</v>
      </c>
      <c r="T164" s="29">
        <v>160</v>
      </c>
      <c r="U164" s="29" t="s">
        <v>1191</v>
      </c>
      <c r="V164" s="54">
        <v>0.259</v>
      </c>
      <c r="W164" s="51" t="s">
        <v>1068</v>
      </c>
      <c r="X164" s="51" t="s">
        <v>1068</v>
      </c>
      <c r="Y164" s="51" t="s">
        <v>2168</v>
      </c>
      <c r="Z164" s="51" t="s">
        <v>2207</v>
      </c>
      <c r="AA164" s="51" t="s">
        <v>36</v>
      </c>
      <c r="AB164" s="107">
        <v>0.6</v>
      </c>
      <c r="AC164" s="51" t="s">
        <v>37</v>
      </c>
      <c r="AD164" s="51" t="s">
        <v>2208</v>
      </c>
      <c r="AE164" s="51"/>
      <c r="AF164" s="51"/>
      <c r="AG164" s="41" t="s">
        <v>2143</v>
      </c>
      <c r="AH164" s="9" t="s">
        <v>1068</v>
      </c>
      <c r="AI164" s="9" t="s">
        <v>1068</v>
      </c>
      <c r="AJ164" s="9" t="s">
        <v>1068</v>
      </c>
      <c r="AK164" s="9" t="s">
        <v>1068</v>
      </c>
      <c r="AL164" s="9" t="s">
        <v>1068</v>
      </c>
      <c r="AM164" s="9" t="s">
        <v>1068</v>
      </c>
      <c r="AN164" s="9" t="s">
        <v>1068</v>
      </c>
      <c r="AO164" s="9" t="s">
        <v>1068</v>
      </c>
      <c r="AP164" s="9" t="s">
        <v>1068</v>
      </c>
      <c r="AQ164" s="9" t="s">
        <v>1068</v>
      </c>
      <c r="AR164" s="9" t="s">
        <v>1068</v>
      </c>
      <c r="AS164" s="9" t="s">
        <v>1068</v>
      </c>
      <c r="AT164" s="9" t="s">
        <v>1068</v>
      </c>
      <c r="AU164" s="9" t="s">
        <v>1068</v>
      </c>
      <c r="AV164" s="9" t="s">
        <v>1068</v>
      </c>
      <c r="AW164" s="9" t="s">
        <v>1068</v>
      </c>
      <c r="AX164" s="9" t="s">
        <v>1068</v>
      </c>
      <c r="AY164" s="9" t="s">
        <v>1068</v>
      </c>
      <c r="AZ164" s="9" t="s">
        <v>1068</v>
      </c>
      <c r="BA164" s="9" t="s">
        <v>1068</v>
      </c>
      <c r="BB164" s="9" t="s">
        <v>1068</v>
      </c>
      <c r="BC164" s="9" t="s">
        <v>1068</v>
      </c>
      <c r="BD164" s="9" t="s">
        <v>1068</v>
      </c>
      <c r="BE164" s="9" t="s">
        <v>1068</v>
      </c>
      <c r="BF164" s="9" t="s">
        <v>1068</v>
      </c>
      <c r="BG164" s="9" t="s">
        <v>1068</v>
      </c>
      <c r="BH164" s="98" t="s">
        <v>1068</v>
      </c>
      <c r="BI164" s="98" t="s">
        <v>1068</v>
      </c>
      <c r="BJ164" s="98" t="s">
        <v>1068</v>
      </c>
      <c r="BK164" s="98" t="s">
        <v>1068</v>
      </c>
      <c r="BL164" s="98" t="s">
        <v>1068</v>
      </c>
      <c r="BM164" s="98" t="s">
        <v>1068</v>
      </c>
      <c r="BN164" s="98" t="s">
        <v>1068</v>
      </c>
      <c r="BO164" s="98" t="s">
        <v>1068</v>
      </c>
      <c r="BP164" s="98" t="s">
        <v>1068</v>
      </c>
      <c r="BQ164" s="98" t="s">
        <v>1068</v>
      </c>
      <c r="BR164" s="98" t="s">
        <v>1068</v>
      </c>
      <c r="BS164" s="98" t="s">
        <v>1068</v>
      </c>
      <c r="BT164" s="98" t="s">
        <v>1068</v>
      </c>
      <c r="BU164" s="98" t="s">
        <v>1068</v>
      </c>
      <c r="BV164" s="98" t="s">
        <v>1068</v>
      </c>
      <c r="BW164" s="98" t="s">
        <v>1068</v>
      </c>
      <c r="BX164" s="98" t="s">
        <v>1068</v>
      </c>
      <c r="BY164" s="98" t="s">
        <v>1068</v>
      </c>
      <c r="BZ164" s="98" t="s">
        <v>1068</v>
      </c>
      <c r="CA164" s="98" t="s">
        <v>1068</v>
      </c>
      <c r="CB164" s="98" t="s">
        <v>1068</v>
      </c>
      <c r="CC164" s="98" t="s">
        <v>1068</v>
      </c>
      <c r="CD164" s="98" t="s">
        <v>1068</v>
      </c>
      <c r="CE164" s="98" t="s">
        <v>1068</v>
      </c>
      <c r="CF164" s="98" t="s">
        <v>1068</v>
      </c>
      <c r="CG164" s="98" t="s">
        <v>1068</v>
      </c>
      <c r="CH164" s="98" t="s">
        <v>1068</v>
      </c>
      <c r="CI164" s="98" t="s">
        <v>1068</v>
      </c>
      <c r="CJ164" s="98" t="s">
        <v>1068</v>
      </c>
      <c r="CK164" s="98" t="s">
        <v>1068</v>
      </c>
      <c r="CL164" s="98" t="s">
        <v>1068</v>
      </c>
      <c r="CM164" s="98" t="s">
        <v>1068</v>
      </c>
      <c r="CN164" s="98" t="s">
        <v>1068</v>
      </c>
      <c r="CO164" s="98" t="s">
        <v>1068</v>
      </c>
      <c r="CP164" s="98" t="s">
        <v>1068</v>
      </c>
      <c r="CQ164" s="98" t="s">
        <v>1068</v>
      </c>
      <c r="CR164" s="98" t="s">
        <v>1068</v>
      </c>
      <c r="CS164" s="98" t="s">
        <v>1068</v>
      </c>
      <c r="CT164" s="98" t="s">
        <v>1068</v>
      </c>
      <c r="CU164" s="98" t="s">
        <v>1068</v>
      </c>
      <c r="CV164" s="98" t="s">
        <v>1068</v>
      </c>
      <c r="CW164" s="98" t="s">
        <v>1068</v>
      </c>
      <c r="CX164" s="98" t="s">
        <v>1068</v>
      </c>
      <c r="CY164" s="98" t="s">
        <v>1068</v>
      </c>
      <c r="CZ164" s="98" t="s">
        <v>1068</v>
      </c>
      <c r="DA164" s="98" t="s">
        <v>1068</v>
      </c>
      <c r="DB164" s="98" t="s">
        <v>1068</v>
      </c>
      <c r="DC164" s="98" t="s">
        <v>1068</v>
      </c>
      <c r="DD164" s="98" t="s">
        <v>1068</v>
      </c>
      <c r="DE164" s="98" t="s">
        <v>1068</v>
      </c>
      <c r="DF164" s="98" t="s">
        <v>1068</v>
      </c>
      <c r="DG164" s="98" t="s">
        <v>1068</v>
      </c>
      <c r="DH164" s="98" t="s">
        <v>1068</v>
      </c>
      <c r="DI164" s="98" t="s">
        <v>1068</v>
      </c>
      <c r="DJ164" s="98" t="s">
        <v>1068</v>
      </c>
      <c r="DK164" s="98" t="s">
        <v>1068</v>
      </c>
      <c r="DL164" s="98" t="s">
        <v>1068</v>
      </c>
      <c r="DM164" s="98" t="s">
        <v>1068</v>
      </c>
      <c r="DN164" s="98" t="s">
        <v>1068</v>
      </c>
      <c r="DO164" s="98" t="s">
        <v>1068</v>
      </c>
      <c r="DP164" s="98" t="s">
        <v>1068</v>
      </c>
      <c r="DQ164" s="98" t="s">
        <v>1068</v>
      </c>
      <c r="DR164" s="98" t="s">
        <v>1068</v>
      </c>
      <c r="DS164" s="98" t="s">
        <v>1068</v>
      </c>
      <c r="DT164" s="98" t="s">
        <v>1068</v>
      </c>
      <c r="DU164" s="98" t="s">
        <v>1068</v>
      </c>
      <c r="DV164" s="98" t="s">
        <v>1068</v>
      </c>
      <c r="DW164" s="98" t="s">
        <v>1068</v>
      </c>
      <c r="DX164" s="98" t="s">
        <v>1068</v>
      </c>
      <c r="DY164" s="98" t="s">
        <v>1068</v>
      </c>
      <c r="DZ164" s="98" t="s">
        <v>1068</v>
      </c>
      <c r="EA164" s="98" t="s">
        <v>1068</v>
      </c>
      <c r="EB164" s="98" t="s">
        <v>1068</v>
      </c>
      <c r="EC164" s="98" t="s">
        <v>1068</v>
      </c>
      <c r="ED164" s="98" t="s">
        <v>1068</v>
      </c>
      <c r="EE164" s="98" t="s">
        <v>1068</v>
      </c>
      <c r="EF164" s="98" t="s">
        <v>1068</v>
      </c>
      <c r="EG164" s="98" t="s">
        <v>1068</v>
      </c>
      <c r="EH164" s="98" t="s">
        <v>1068</v>
      </c>
      <c r="EI164" s="98" t="s">
        <v>1068</v>
      </c>
      <c r="EJ164" s="98" t="s">
        <v>1068</v>
      </c>
      <c r="EK164" s="98" t="s">
        <v>1068</v>
      </c>
      <c r="EL164" s="98" t="s">
        <v>1068</v>
      </c>
      <c r="EM164" s="98" t="s">
        <v>1068</v>
      </c>
      <c r="EN164" s="98" t="s">
        <v>1068</v>
      </c>
      <c r="EO164" s="98" t="s">
        <v>1068</v>
      </c>
      <c r="EP164" s="98" t="s">
        <v>1068</v>
      </c>
      <c r="EQ164" s="98" t="s">
        <v>1068</v>
      </c>
      <c r="ER164" s="98" t="s">
        <v>1068</v>
      </c>
      <c r="ES164" s="98" t="s">
        <v>1068</v>
      </c>
      <c r="ET164" s="98" t="s">
        <v>1068</v>
      </c>
      <c r="EU164" s="98" t="s">
        <v>1068</v>
      </c>
      <c r="EV164" s="98" t="s">
        <v>1068</v>
      </c>
      <c r="EW164" s="98" t="s">
        <v>1068</v>
      </c>
      <c r="EX164" s="98" t="s">
        <v>1068</v>
      </c>
      <c r="EY164" s="98" t="s">
        <v>1068</v>
      </c>
      <c r="EZ164" s="98" t="s">
        <v>1068</v>
      </c>
      <c r="FA164" s="98" t="s">
        <v>1068</v>
      </c>
      <c r="FB164" s="98" t="s">
        <v>1068</v>
      </c>
      <c r="FC164" s="98" t="s">
        <v>1068</v>
      </c>
      <c r="FD164" s="98" t="s">
        <v>1068</v>
      </c>
      <c r="FE164" s="98" t="s">
        <v>1068</v>
      </c>
      <c r="FF164" s="98" t="s">
        <v>1068</v>
      </c>
      <c r="FG164" s="98" t="s">
        <v>1068</v>
      </c>
      <c r="FH164" s="98" t="s">
        <v>1068</v>
      </c>
      <c r="FI164" s="98" t="s">
        <v>1068</v>
      </c>
      <c r="FJ164" s="98" t="s">
        <v>1068</v>
      </c>
      <c r="FK164" s="98" t="s">
        <v>1068</v>
      </c>
      <c r="FL164" s="98" t="s">
        <v>1068</v>
      </c>
      <c r="FM164" s="98" t="s">
        <v>1068</v>
      </c>
      <c r="FN164" s="98" t="s">
        <v>1068</v>
      </c>
      <c r="FO164" s="98" t="s">
        <v>1068</v>
      </c>
      <c r="FP164" s="98" t="s">
        <v>1068</v>
      </c>
      <c r="FQ164" s="98" t="s">
        <v>1068</v>
      </c>
      <c r="FR164" s="98" t="s">
        <v>1068</v>
      </c>
      <c r="FS164" s="98" t="s">
        <v>1068</v>
      </c>
      <c r="FT164" s="98" t="s">
        <v>1068</v>
      </c>
      <c r="FU164" s="98" t="s">
        <v>1068</v>
      </c>
      <c r="FV164" s="98" t="s">
        <v>1068</v>
      </c>
      <c r="FW164" s="98" t="s">
        <v>1068</v>
      </c>
      <c r="FX164" s="98" t="s">
        <v>1068</v>
      </c>
      <c r="FY164" s="98" t="s">
        <v>1068</v>
      </c>
      <c r="FZ164" s="98" t="s">
        <v>1068</v>
      </c>
      <c r="GA164" s="98" t="s">
        <v>1068</v>
      </c>
      <c r="GB164" s="98" t="s">
        <v>1068</v>
      </c>
      <c r="GC164" s="98" t="s">
        <v>1068</v>
      </c>
      <c r="GD164" s="98" t="s">
        <v>1068</v>
      </c>
      <c r="GE164" s="98" t="s">
        <v>1068</v>
      </c>
      <c r="GF164" s="98" t="s">
        <v>1068</v>
      </c>
      <c r="GG164" s="98" t="s">
        <v>1068</v>
      </c>
      <c r="GH164" s="98" t="s">
        <v>1068</v>
      </c>
      <c r="GI164" s="98" t="s">
        <v>1068</v>
      </c>
      <c r="GJ164" s="98" t="s">
        <v>1068</v>
      </c>
      <c r="GK164" s="98" t="s">
        <v>1068</v>
      </c>
      <c r="GL164" s="98" t="s">
        <v>1068</v>
      </c>
      <c r="GM164" s="98" t="s">
        <v>1068</v>
      </c>
      <c r="GN164" s="98" t="s">
        <v>1068</v>
      </c>
      <c r="GO164" s="98" t="s">
        <v>1068</v>
      </c>
      <c r="GP164" s="98" t="s">
        <v>1068</v>
      </c>
      <c r="GQ164" s="98" t="s">
        <v>1068</v>
      </c>
      <c r="GR164" s="98" t="s">
        <v>1068</v>
      </c>
      <c r="GS164" s="98" t="s">
        <v>1068</v>
      </c>
      <c r="GT164" s="98" t="s">
        <v>1068</v>
      </c>
      <c r="GU164" s="98" t="s">
        <v>1068</v>
      </c>
      <c r="GV164" s="98" t="s">
        <v>1068</v>
      </c>
      <c r="GW164" s="98" t="s">
        <v>1068</v>
      </c>
      <c r="GX164" s="98" t="s">
        <v>1068</v>
      </c>
      <c r="GY164" s="98" t="s">
        <v>1068</v>
      </c>
      <c r="GZ164" s="98" t="s">
        <v>1068</v>
      </c>
      <c r="HA164" s="98" t="s">
        <v>1068</v>
      </c>
      <c r="HB164" s="98" t="s">
        <v>1068</v>
      </c>
      <c r="HC164" s="98" t="s">
        <v>1068</v>
      </c>
      <c r="HD164" s="98" t="s">
        <v>1068</v>
      </c>
      <c r="HE164" s="98" t="s">
        <v>1068</v>
      </c>
      <c r="HF164" s="98" t="s">
        <v>1068</v>
      </c>
      <c r="HG164" s="98" t="s">
        <v>1068</v>
      </c>
      <c r="HH164" s="98" t="s">
        <v>1068</v>
      </c>
      <c r="HI164" s="98" t="s">
        <v>1068</v>
      </c>
      <c r="HJ164" s="98" t="s">
        <v>1068</v>
      </c>
      <c r="HK164" s="98" t="s">
        <v>1068</v>
      </c>
      <c r="HL164" s="98" t="s">
        <v>1068</v>
      </c>
      <c r="HM164" s="98" t="s">
        <v>1068</v>
      </c>
      <c r="HN164" s="98" t="s">
        <v>1068</v>
      </c>
      <c r="HO164" s="98" t="s">
        <v>1068</v>
      </c>
      <c r="HP164" s="98" t="s">
        <v>1068</v>
      </c>
      <c r="HQ164" s="98" t="s">
        <v>1068</v>
      </c>
      <c r="HR164" s="98" t="s">
        <v>1068</v>
      </c>
      <c r="HS164" s="98" t="s">
        <v>1068</v>
      </c>
      <c r="HT164" s="98" t="s">
        <v>1068</v>
      </c>
      <c r="HU164" s="98" t="s">
        <v>1068</v>
      </c>
      <c r="HV164" s="98" t="s">
        <v>1068</v>
      </c>
      <c r="HW164" s="98" t="s">
        <v>1068</v>
      </c>
      <c r="HX164" s="98" t="s">
        <v>1068</v>
      </c>
      <c r="HY164" s="98" t="s">
        <v>1068</v>
      </c>
      <c r="HZ164" s="98" t="s">
        <v>1068</v>
      </c>
      <c r="IA164" s="98" t="s">
        <v>1068</v>
      </c>
      <c r="IB164" s="98" t="s">
        <v>1068</v>
      </c>
      <c r="IC164" s="98" t="s">
        <v>1068</v>
      </c>
      <c r="ID164" s="98" t="s">
        <v>1068</v>
      </c>
      <c r="IE164" s="98" t="s">
        <v>1068</v>
      </c>
      <c r="IF164" s="98" t="s">
        <v>1068</v>
      </c>
      <c r="IG164" s="98" t="s">
        <v>1068</v>
      </c>
      <c r="IH164" s="98" t="s">
        <v>1068</v>
      </c>
      <c r="II164" s="9" t="s">
        <v>1068</v>
      </c>
      <c r="IJ164" s="11"/>
      <c r="IK164" s="11"/>
      <c r="IL164" s="11"/>
      <c r="IM164" s="11"/>
      <c r="IN164" s="11"/>
      <c r="IO164" s="11"/>
      <c r="IP164" s="11"/>
      <c r="IQ164" s="11"/>
      <c r="IR164" s="11"/>
      <c r="IS164" s="11"/>
      <c r="IT164" s="11"/>
      <c r="IU164" s="11"/>
      <c r="IV164" s="11"/>
      <c r="IW164" s="11"/>
      <c r="IX164" s="11"/>
      <c r="IY164" s="11"/>
      <c r="IZ164" s="11"/>
      <c r="JA164" s="11"/>
      <c r="JB164" s="11"/>
      <c r="JC164" s="11"/>
      <c r="JD164" s="11"/>
      <c r="JE164" s="11"/>
      <c r="JF164" s="11"/>
      <c r="JG164" s="11"/>
      <c r="JH164" s="11"/>
      <c r="JI164" s="11"/>
      <c r="JJ164" s="11"/>
      <c r="JK164" s="11"/>
      <c r="JL164" s="11"/>
      <c r="JM164" s="11"/>
      <c r="JN164" s="11"/>
      <c r="JO164" s="11"/>
      <c r="JP164" s="11"/>
      <c r="JQ164" s="11"/>
      <c r="JR164" s="11"/>
      <c r="JS164" s="11"/>
      <c r="JT164" s="11"/>
      <c r="JU164" s="11"/>
      <c r="JV164" s="11"/>
      <c r="JW164" s="11"/>
      <c r="JX164" s="11"/>
      <c r="JY164" s="11"/>
      <c r="JZ164" s="11"/>
      <c r="KA164" s="11"/>
      <c r="KB164" s="11"/>
      <c r="KC164" s="11"/>
      <c r="KD164" s="11"/>
      <c r="KE164" s="11"/>
      <c r="KF164" s="11"/>
      <c r="KG164" s="11"/>
      <c r="KH164" s="11"/>
      <c r="KI164" s="11"/>
      <c r="KJ164" s="11"/>
      <c r="KK164" s="11"/>
      <c r="KL164" s="11"/>
      <c r="KM164" s="11"/>
      <c r="KN164" s="11"/>
      <c r="KO164" s="11"/>
      <c r="KP164" s="11"/>
      <c r="KQ164" s="11"/>
      <c r="KR164" s="11"/>
      <c r="KS164" s="11"/>
      <c r="KT164" s="11"/>
      <c r="KU164" s="11"/>
      <c r="KV164" s="11"/>
    </row>
    <row r="165" s="11" customFormat="1" customHeight="1" spans="1:310">
      <c r="A165" s="28">
        <v>45962</v>
      </c>
      <c r="B165" s="30" t="s">
        <v>1022</v>
      </c>
      <c r="C165" s="32" t="s">
        <v>1007</v>
      </c>
      <c r="D165" s="32" t="s">
        <v>1215</v>
      </c>
      <c r="E165" s="32" t="s">
        <v>678</v>
      </c>
      <c r="F165" s="31" t="s">
        <v>678</v>
      </c>
      <c r="G165" s="31" t="s">
        <v>2209</v>
      </c>
      <c r="H165" s="32">
        <v>11</v>
      </c>
      <c r="I165" s="32">
        <v>2020</v>
      </c>
      <c r="J165" s="32" t="s">
        <v>2210</v>
      </c>
      <c r="K165" s="32" t="s">
        <v>2211</v>
      </c>
      <c r="L165" s="32">
        <v>12</v>
      </c>
      <c r="M165" s="32" t="s">
        <v>1012</v>
      </c>
      <c r="N165" s="32" t="s">
        <v>2211</v>
      </c>
      <c r="O165" s="32" t="s">
        <v>2212</v>
      </c>
      <c r="P165" s="32" t="s">
        <v>1016</v>
      </c>
      <c r="Q165" s="32"/>
      <c r="R165" s="32" t="s">
        <v>1017</v>
      </c>
      <c r="S165" s="32">
        <v>10152.75</v>
      </c>
      <c r="T165" s="32">
        <v>34</v>
      </c>
      <c r="U165" s="32" t="s">
        <v>2213</v>
      </c>
      <c r="V165" s="33">
        <f t="shared" ref="V165:V178" si="4">T165/S165</f>
        <v>0.0033488463716727</v>
      </c>
      <c r="W165" s="39"/>
      <c r="X165" s="39"/>
      <c r="Y165" s="32" t="s">
        <v>1018</v>
      </c>
      <c r="Z165" s="32" t="s">
        <v>2214</v>
      </c>
      <c r="AA165" s="32" t="s">
        <v>2215</v>
      </c>
      <c r="AB165" s="40">
        <v>0.6</v>
      </c>
      <c r="AC165" s="32" t="s">
        <v>37</v>
      </c>
      <c r="AD165" s="32" t="s">
        <v>2216</v>
      </c>
      <c r="AE165" s="32"/>
      <c r="AF165" s="32"/>
      <c r="AG165" s="41" t="s">
        <v>1081</v>
      </c>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9"/>
      <c r="DV165" s="9"/>
      <c r="DW165" s="9"/>
      <c r="DX165" s="9"/>
      <c r="DY165" s="9"/>
      <c r="DZ165" s="9"/>
      <c r="EA165" s="9"/>
      <c r="EB165" s="9"/>
      <c r="EC165" s="9"/>
      <c r="ED165" s="9"/>
      <c r="EE165" s="9"/>
      <c r="EF165" s="9"/>
      <c r="EG165" s="9"/>
      <c r="EH165" s="9"/>
      <c r="EI165" s="9"/>
      <c r="EJ165" s="9"/>
      <c r="EK165" s="9"/>
      <c r="EL165" s="9"/>
      <c r="EM165" s="9"/>
      <c r="EN165" s="9"/>
      <c r="EO165" s="9"/>
      <c r="EP165" s="9"/>
      <c r="EQ165" s="9"/>
      <c r="ER165" s="9"/>
      <c r="ES165" s="9"/>
      <c r="ET165" s="9"/>
      <c r="EU165" s="9"/>
      <c r="EV165" s="9"/>
      <c r="EW165" s="9"/>
      <c r="EX165" s="9"/>
      <c r="EY165" s="9"/>
      <c r="EZ165" s="9"/>
      <c r="FA165" s="9"/>
      <c r="FB165" s="9"/>
      <c r="FC165" s="9"/>
      <c r="FD165" s="9"/>
      <c r="FE165" s="9"/>
      <c r="FF165" s="9"/>
      <c r="FG165" s="9"/>
      <c r="FH165" s="9"/>
      <c r="FI165" s="9"/>
      <c r="FJ165" s="9"/>
      <c r="FK165" s="9"/>
      <c r="FL165" s="9"/>
      <c r="FM165" s="9"/>
      <c r="FN165" s="9"/>
      <c r="FO165" s="9"/>
      <c r="FP165" s="9"/>
      <c r="FQ165" s="9"/>
      <c r="FR165" s="9"/>
      <c r="FS165" s="9"/>
      <c r="FT165" s="9"/>
      <c r="FU165" s="9"/>
      <c r="FV165" s="9"/>
      <c r="FW165" s="9"/>
      <c r="FX165" s="9"/>
      <c r="FY165" s="9"/>
      <c r="FZ165" s="9"/>
      <c r="GA165" s="9"/>
      <c r="GB165" s="9"/>
      <c r="GC165" s="9"/>
      <c r="GD165" s="9"/>
      <c r="GE165" s="9"/>
      <c r="GF165" s="9"/>
      <c r="GG165" s="9"/>
      <c r="GH165" s="9"/>
      <c r="GI165" s="9"/>
      <c r="GJ165" s="9"/>
      <c r="GK165" s="9"/>
      <c r="GL165" s="9"/>
      <c r="GM165" s="9"/>
      <c r="GN165" s="9"/>
      <c r="GO165" s="9"/>
      <c r="GP165" s="9"/>
      <c r="GQ165" s="9"/>
      <c r="GR165" s="9"/>
      <c r="GS165" s="9"/>
      <c r="GT165" s="9"/>
      <c r="GU165" s="9"/>
      <c r="GV165" s="9"/>
      <c r="GW165" s="9"/>
      <c r="GX165" s="9"/>
      <c r="GY165" s="9"/>
      <c r="GZ165" s="9"/>
      <c r="HA165" s="9"/>
      <c r="HB165" s="9"/>
      <c r="HC165" s="9"/>
      <c r="HD165" s="9"/>
      <c r="HE165" s="9"/>
      <c r="HF165" s="9"/>
      <c r="HG165" s="9"/>
      <c r="HH165" s="9"/>
      <c r="HI165" s="9"/>
      <c r="HJ165" s="9"/>
      <c r="HK165" s="9"/>
      <c r="HL165" s="9"/>
      <c r="HM165" s="9"/>
      <c r="HN165" s="9"/>
      <c r="HO165" s="9"/>
      <c r="HP165" s="9"/>
      <c r="HQ165" s="9"/>
      <c r="HR165" s="9"/>
      <c r="HS165" s="9"/>
      <c r="HT165" s="9"/>
      <c r="HU165" s="9"/>
      <c r="HV165" s="9"/>
      <c r="HW165" s="9"/>
      <c r="HX165" s="9"/>
      <c r="HY165" s="9"/>
      <c r="HZ165" s="9"/>
      <c r="IA165" s="9"/>
      <c r="IB165" s="9"/>
      <c r="IC165" s="9"/>
      <c r="ID165" s="9"/>
      <c r="IE165" s="9"/>
      <c r="IF165" s="9"/>
      <c r="IG165" s="9"/>
      <c r="IH165" s="9"/>
      <c r="II165" s="9"/>
      <c r="IJ165" s="9"/>
      <c r="IK165" s="9"/>
      <c r="IL165" s="9"/>
      <c r="IM165" s="9"/>
      <c r="IN165" s="9"/>
      <c r="IO165" s="9"/>
      <c r="IP165" s="9"/>
      <c r="IQ165" s="9"/>
      <c r="IR165" s="9"/>
      <c r="IS165" s="9"/>
      <c r="IT165" s="9"/>
      <c r="IU165" s="9"/>
      <c r="IV165" s="9"/>
      <c r="IW165" s="9"/>
      <c r="IX165" s="9"/>
      <c r="IY165" s="9"/>
      <c r="IZ165" s="9"/>
      <c r="JA165" s="9"/>
      <c r="JB165" s="9"/>
      <c r="JC165" s="9"/>
      <c r="JD165" s="9"/>
      <c r="JE165" s="9"/>
      <c r="JF165" s="9"/>
      <c r="JG165" s="9"/>
      <c r="JH165" s="9"/>
      <c r="JI165" s="9"/>
      <c r="JJ165" s="9"/>
      <c r="JK165" s="9"/>
      <c r="JL165" s="9"/>
      <c r="JM165" s="9"/>
      <c r="JN165" s="9"/>
      <c r="JO165" s="9"/>
      <c r="JP165" s="9"/>
      <c r="JQ165" s="9"/>
      <c r="JR165" s="9"/>
      <c r="JS165" s="9"/>
      <c r="JT165" s="9"/>
      <c r="JU165" s="9"/>
      <c r="JV165" s="9"/>
      <c r="JW165" s="9"/>
      <c r="JX165" s="9"/>
      <c r="JY165" s="9"/>
      <c r="JZ165" s="9"/>
      <c r="KA165" s="9"/>
      <c r="KB165" s="9"/>
      <c r="KC165" s="9"/>
      <c r="KD165" s="9"/>
      <c r="KE165" s="9"/>
      <c r="KF165" s="9"/>
      <c r="KG165" s="9"/>
      <c r="KH165" s="9"/>
      <c r="KI165" s="9"/>
      <c r="KJ165" s="9"/>
      <c r="KK165" s="9"/>
      <c r="KL165" s="9"/>
      <c r="KM165" s="9"/>
      <c r="KN165" s="9"/>
      <c r="KO165" s="9"/>
      <c r="KP165" s="9"/>
      <c r="KQ165" s="9"/>
      <c r="KR165" s="9"/>
      <c r="KS165" s="9"/>
      <c r="KT165" s="9"/>
      <c r="KU165" s="9"/>
      <c r="KV165" s="9"/>
    </row>
    <row r="166" s="11" customFormat="1" customHeight="1" spans="1:310">
      <c r="A166" s="28">
        <v>45962</v>
      </c>
      <c r="B166" s="30" t="s">
        <v>1022</v>
      </c>
      <c r="C166" s="32" t="s">
        <v>1057</v>
      </c>
      <c r="D166" s="32" t="s">
        <v>1058</v>
      </c>
      <c r="E166" s="32" t="s">
        <v>219</v>
      </c>
      <c r="F166" s="31" t="s">
        <v>220</v>
      </c>
      <c r="G166" s="31" t="s">
        <v>2217</v>
      </c>
      <c r="H166" s="30">
        <v>11</v>
      </c>
      <c r="I166" s="32">
        <v>2021</v>
      </c>
      <c r="J166" s="36" t="s">
        <v>2164</v>
      </c>
      <c r="K166" s="36" t="s">
        <v>1075</v>
      </c>
      <c r="L166" s="32">
        <v>1</v>
      </c>
      <c r="M166" s="29" t="s">
        <v>1013</v>
      </c>
      <c r="N166" s="29" t="s">
        <v>1014</v>
      </c>
      <c r="O166" s="32" t="s">
        <v>2218</v>
      </c>
      <c r="P166" s="32" t="s">
        <v>1018</v>
      </c>
      <c r="Q166" s="32" t="s">
        <v>1018</v>
      </c>
      <c r="R166" s="32" t="s">
        <v>1039</v>
      </c>
      <c r="S166" s="37">
        <v>1036</v>
      </c>
      <c r="T166" s="32">
        <v>500</v>
      </c>
      <c r="U166" s="32" t="s">
        <v>1902</v>
      </c>
      <c r="V166" s="33">
        <f t="shared" si="4"/>
        <v>0.482625482625483</v>
      </c>
      <c r="W166" s="39">
        <v>1.0331</v>
      </c>
      <c r="X166" s="39"/>
      <c r="Y166" s="32" t="s">
        <v>1018</v>
      </c>
      <c r="Z166" s="32" t="s">
        <v>2219</v>
      </c>
      <c r="AA166" s="32" t="s">
        <v>422</v>
      </c>
      <c r="AB166" s="40" t="s">
        <v>2220</v>
      </c>
      <c r="AC166" s="32" t="s">
        <v>2131</v>
      </c>
      <c r="AD166" s="32" t="s">
        <v>1018</v>
      </c>
      <c r="AE166" s="91" t="s">
        <v>2221</v>
      </c>
      <c r="AF166" s="91" t="s">
        <v>1016</v>
      </c>
      <c r="AG166" s="41" t="s">
        <v>2222</v>
      </c>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c r="DX166" s="9"/>
      <c r="DY166" s="9"/>
      <c r="DZ166" s="9"/>
      <c r="EA166" s="9"/>
      <c r="EB166" s="9"/>
      <c r="EC166" s="9"/>
      <c r="ED166" s="9"/>
      <c r="EE166" s="9"/>
      <c r="EF166" s="9"/>
      <c r="EG166" s="9"/>
      <c r="EH166" s="9"/>
      <c r="EI166" s="9"/>
      <c r="EJ166" s="9"/>
      <c r="EK166" s="9"/>
      <c r="EL166" s="9"/>
      <c r="EM166" s="9"/>
      <c r="EN166" s="9"/>
      <c r="EO166" s="9"/>
      <c r="EP166" s="9"/>
      <c r="EQ166" s="9"/>
      <c r="ER166" s="9"/>
      <c r="ES166" s="9"/>
      <c r="ET166" s="9"/>
      <c r="EU166" s="9"/>
      <c r="EV166" s="9"/>
      <c r="EW166" s="9"/>
      <c r="EX166" s="9"/>
      <c r="EY166" s="9"/>
      <c r="EZ166" s="9"/>
      <c r="FA166" s="9"/>
      <c r="FB166" s="9"/>
      <c r="FC166" s="9"/>
      <c r="FD166" s="9"/>
      <c r="FE166" s="9"/>
      <c r="FF166" s="9"/>
      <c r="FG166" s="9"/>
      <c r="FH166" s="9"/>
      <c r="FI166" s="9"/>
      <c r="FJ166" s="9"/>
      <c r="FK166" s="9"/>
      <c r="FL166" s="9"/>
      <c r="FM166" s="9"/>
      <c r="FN166" s="9"/>
      <c r="FO166" s="9"/>
      <c r="FP166" s="9"/>
      <c r="FQ166" s="9"/>
      <c r="FR166" s="9"/>
      <c r="FS166" s="9"/>
      <c r="FT166" s="9"/>
      <c r="FU166" s="9"/>
      <c r="FV166" s="9"/>
      <c r="FW166" s="9"/>
      <c r="FX166" s="9"/>
      <c r="FY166" s="9"/>
      <c r="FZ166" s="9"/>
      <c r="GA166" s="9"/>
      <c r="GB166" s="9"/>
      <c r="GC166" s="9"/>
      <c r="GD166" s="9"/>
      <c r="GE166" s="9"/>
      <c r="GF166" s="9"/>
      <c r="GG166" s="9"/>
      <c r="GH166" s="9"/>
      <c r="GI166" s="9"/>
      <c r="GJ166" s="9"/>
      <c r="GK166" s="9"/>
      <c r="GL166" s="9"/>
      <c r="GM166" s="9"/>
      <c r="GN166" s="9"/>
      <c r="GO166" s="9"/>
      <c r="GP166" s="9"/>
      <c r="GQ166" s="9"/>
      <c r="GR166" s="9"/>
      <c r="GS166" s="9"/>
      <c r="GT166" s="9"/>
      <c r="GU166" s="9"/>
      <c r="GV166" s="9"/>
      <c r="GW166" s="9"/>
      <c r="GX166" s="9"/>
      <c r="GY166" s="9"/>
      <c r="GZ166" s="9"/>
      <c r="HA166" s="9"/>
      <c r="HB166" s="9"/>
      <c r="HC166" s="9"/>
      <c r="HD166" s="9"/>
      <c r="HE166" s="9"/>
      <c r="HF166" s="9"/>
      <c r="HG166" s="9"/>
      <c r="HH166" s="9"/>
      <c r="HI166" s="9"/>
      <c r="HJ166" s="9"/>
      <c r="HK166" s="9"/>
      <c r="HL166" s="9"/>
      <c r="HM166" s="9"/>
      <c r="HN166" s="9"/>
      <c r="HO166" s="9"/>
      <c r="HP166" s="9"/>
      <c r="HQ166" s="9"/>
      <c r="HR166" s="9"/>
      <c r="HS166" s="9"/>
      <c r="HT166" s="9"/>
      <c r="HU166" s="9"/>
      <c r="HV166" s="9"/>
      <c r="HW166" s="9"/>
      <c r="HX166" s="9"/>
      <c r="HY166" s="9"/>
      <c r="HZ166" s="9"/>
      <c r="IA166" s="9"/>
      <c r="IB166" s="9"/>
      <c r="IC166" s="9"/>
      <c r="ID166" s="9"/>
      <c r="IE166" s="9"/>
      <c r="IF166" s="9"/>
      <c r="IG166" s="9"/>
      <c r="IH166" s="9"/>
    </row>
    <row r="167" s="12" customFormat="1" customHeight="1" spans="1:310">
      <c r="A167" s="28">
        <v>45962</v>
      </c>
      <c r="B167" s="30" t="s">
        <v>1022</v>
      </c>
      <c r="C167" s="32" t="s">
        <v>1032</v>
      </c>
      <c r="D167" s="32" t="s">
        <v>134</v>
      </c>
      <c r="E167" s="32" t="s">
        <v>381</v>
      </c>
      <c r="F167" s="31" t="s">
        <v>2223</v>
      </c>
      <c r="G167" s="31" t="s">
        <v>2224</v>
      </c>
      <c r="H167" s="32">
        <v>11</v>
      </c>
      <c r="I167" s="32">
        <v>2022</v>
      </c>
      <c r="J167" s="29" t="s">
        <v>1827</v>
      </c>
      <c r="K167" s="32" t="s">
        <v>1012</v>
      </c>
      <c r="L167" s="32">
        <v>1</v>
      </c>
      <c r="M167" s="29" t="s">
        <v>1013</v>
      </c>
      <c r="N167" s="29" t="s">
        <v>1014</v>
      </c>
      <c r="O167" s="32">
        <v>180</v>
      </c>
      <c r="P167" s="32" t="s">
        <v>1018</v>
      </c>
      <c r="Q167" s="32" t="s">
        <v>1018</v>
      </c>
      <c r="R167" s="32" t="s">
        <v>2225</v>
      </c>
      <c r="S167" s="32">
        <v>441.81</v>
      </c>
      <c r="T167" s="32">
        <v>60</v>
      </c>
      <c r="U167" s="32" t="s">
        <v>2226</v>
      </c>
      <c r="V167" s="33">
        <f t="shared" si="4"/>
        <v>0.135804984042914</v>
      </c>
      <c r="W167" s="39">
        <v>0.3003</v>
      </c>
      <c r="X167" s="39" t="s">
        <v>2227</v>
      </c>
      <c r="Y167" s="32" t="s">
        <v>1018</v>
      </c>
      <c r="Z167" s="32" t="s">
        <v>2228</v>
      </c>
      <c r="AA167" s="32" t="s">
        <v>2229</v>
      </c>
      <c r="AB167" s="32" t="s">
        <v>2230</v>
      </c>
      <c r="AC167" s="32" t="s">
        <v>37</v>
      </c>
      <c r="AD167" s="32" t="s">
        <v>1018</v>
      </c>
      <c r="AE167" s="32" t="s">
        <v>2231</v>
      </c>
      <c r="AF167" s="32"/>
      <c r="AG167" s="32" t="s">
        <v>2232</v>
      </c>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9"/>
      <c r="EH167" s="9"/>
      <c r="EI167" s="9"/>
      <c r="EJ167" s="9"/>
      <c r="EK167" s="9"/>
      <c r="EL167" s="9"/>
      <c r="EM167" s="9"/>
      <c r="EN167" s="9"/>
      <c r="EO167" s="9"/>
      <c r="EP167" s="9"/>
      <c r="EQ167" s="9"/>
      <c r="ER167" s="9"/>
      <c r="ES167" s="9"/>
      <c r="ET167" s="9"/>
      <c r="EU167" s="9"/>
      <c r="EV167" s="9"/>
      <c r="EW167" s="9"/>
      <c r="EX167" s="9"/>
      <c r="EY167" s="9"/>
      <c r="EZ167" s="9"/>
      <c r="FA167" s="9"/>
      <c r="FB167" s="9"/>
      <c r="FC167" s="9"/>
      <c r="FD167" s="9"/>
      <c r="FE167" s="9"/>
      <c r="FF167" s="9"/>
      <c r="FG167" s="9"/>
      <c r="FH167" s="9"/>
      <c r="FI167" s="9"/>
      <c r="FJ167" s="9"/>
      <c r="FK167" s="9"/>
      <c r="FL167" s="9"/>
      <c r="FM167" s="9"/>
      <c r="FN167" s="9"/>
      <c r="FO167" s="9"/>
      <c r="FP167" s="9"/>
      <c r="FQ167" s="9"/>
      <c r="FR167" s="9"/>
      <c r="FS167" s="9"/>
      <c r="FT167" s="9"/>
      <c r="FU167" s="9"/>
      <c r="FV167" s="9"/>
      <c r="FW167" s="9"/>
      <c r="FX167" s="9"/>
      <c r="FY167" s="9"/>
      <c r="FZ167" s="9"/>
      <c r="GA167" s="9"/>
      <c r="GB167" s="9"/>
      <c r="GC167" s="9"/>
      <c r="GD167" s="9"/>
      <c r="GE167" s="9"/>
      <c r="GF167" s="9"/>
      <c r="GG167" s="9"/>
      <c r="GH167" s="9"/>
      <c r="GI167" s="9"/>
      <c r="GJ167" s="9"/>
      <c r="GK167" s="9"/>
      <c r="GL167" s="9"/>
      <c r="GM167" s="9"/>
      <c r="GN167" s="9"/>
      <c r="GO167" s="9"/>
      <c r="GP167" s="9"/>
      <c r="GQ167" s="9"/>
      <c r="GR167" s="9"/>
      <c r="GS167" s="9"/>
      <c r="GT167" s="9"/>
      <c r="GU167" s="9"/>
      <c r="GV167" s="9"/>
      <c r="GW167" s="9"/>
      <c r="GX167" s="9"/>
      <c r="GY167" s="9"/>
      <c r="GZ167" s="9"/>
      <c r="HA167" s="9"/>
      <c r="HB167" s="9"/>
      <c r="HC167" s="9"/>
      <c r="HD167" s="9"/>
      <c r="HE167" s="9"/>
      <c r="HF167" s="9"/>
      <c r="HG167" s="9"/>
      <c r="HH167" s="9"/>
      <c r="HI167" s="9"/>
      <c r="HJ167" s="9"/>
      <c r="HK167" s="9"/>
      <c r="HL167" s="9"/>
      <c r="HM167" s="9"/>
      <c r="HN167" s="9"/>
      <c r="HO167" s="9"/>
      <c r="HP167" s="9"/>
      <c r="HQ167" s="9"/>
      <c r="HR167" s="9"/>
      <c r="HS167" s="9"/>
      <c r="HT167" s="9"/>
      <c r="HU167" s="9"/>
      <c r="HV167" s="9"/>
      <c r="HW167" s="9"/>
      <c r="HX167" s="9"/>
      <c r="HY167" s="9"/>
      <c r="HZ167" s="9"/>
      <c r="IA167" s="9"/>
      <c r="IB167" s="9"/>
      <c r="IC167" s="9"/>
      <c r="ID167" s="9"/>
      <c r="IE167" s="9"/>
      <c r="IF167" s="9"/>
      <c r="IG167" s="9"/>
      <c r="IH167" s="9"/>
      <c r="II167" s="9"/>
      <c r="IJ167" s="9"/>
      <c r="IK167" s="9"/>
      <c r="IL167" s="9"/>
      <c r="IM167" s="9"/>
      <c r="IN167" s="9"/>
      <c r="IO167" s="9"/>
      <c r="IP167" s="9"/>
      <c r="IQ167" s="9"/>
      <c r="IR167" s="9"/>
      <c r="IS167" s="9"/>
      <c r="IT167" s="9"/>
      <c r="IU167" s="9"/>
      <c r="IV167" s="9"/>
      <c r="IW167" s="9"/>
      <c r="IX167" s="9"/>
      <c r="IY167" s="9"/>
      <c r="IZ167" s="9"/>
      <c r="JA167" s="9"/>
      <c r="JB167" s="9"/>
      <c r="JC167" s="9"/>
      <c r="JD167" s="9"/>
      <c r="JE167" s="9"/>
      <c r="JF167" s="9"/>
      <c r="JG167" s="9"/>
      <c r="JH167" s="9"/>
      <c r="JI167" s="9"/>
      <c r="JJ167" s="9"/>
      <c r="JK167" s="9"/>
      <c r="JL167" s="9"/>
      <c r="JM167" s="9"/>
      <c r="JN167" s="9"/>
      <c r="JO167" s="9"/>
      <c r="JP167" s="9"/>
      <c r="JQ167" s="9"/>
      <c r="JR167" s="9"/>
      <c r="JS167" s="9"/>
      <c r="JT167" s="9"/>
      <c r="JU167" s="9"/>
      <c r="JV167" s="9"/>
      <c r="JW167" s="9"/>
      <c r="JX167" s="9"/>
      <c r="JY167" s="9"/>
      <c r="JZ167" s="9"/>
      <c r="KA167" s="9"/>
      <c r="KB167" s="9"/>
      <c r="KC167" s="9"/>
      <c r="KD167" s="9"/>
      <c r="KE167" s="9"/>
      <c r="KF167" s="9"/>
      <c r="KG167" s="9"/>
      <c r="KH167" s="9"/>
      <c r="KI167" s="9"/>
      <c r="KJ167" s="9"/>
      <c r="KK167" s="9"/>
      <c r="KL167" s="9"/>
      <c r="KM167" s="9"/>
      <c r="KN167" s="9"/>
      <c r="KO167" s="9"/>
      <c r="KP167" s="9"/>
      <c r="KQ167" s="9"/>
      <c r="KR167" s="9"/>
      <c r="KS167" s="9"/>
      <c r="KT167" s="9"/>
      <c r="KU167" s="9"/>
      <c r="KV167" s="9"/>
      <c r="KW167" s="13"/>
      <c r="KX167" s="13"/>
    </row>
    <row r="168" s="10" customFormat="1" customHeight="1" spans="1:310">
      <c r="A168" s="28">
        <v>45962</v>
      </c>
      <c r="B168" s="30" t="s">
        <v>1022</v>
      </c>
      <c r="C168" s="30" t="s">
        <v>1057</v>
      </c>
      <c r="D168" s="30" t="s">
        <v>134</v>
      </c>
      <c r="E168" s="30" t="s">
        <v>869</v>
      </c>
      <c r="F168" s="31" t="s">
        <v>2233</v>
      </c>
      <c r="G168" s="31" t="s">
        <v>2234</v>
      </c>
      <c r="H168" s="30">
        <v>11</v>
      </c>
      <c r="I168" s="30">
        <v>2021</v>
      </c>
      <c r="J168" s="30" t="s">
        <v>1180</v>
      </c>
      <c r="K168" s="30" t="s">
        <v>2211</v>
      </c>
      <c r="L168" s="30">
        <v>1</v>
      </c>
      <c r="M168" s="29" t="s">
        <v>1013</v>
      </c>
      <c r="N168" s="29" t="s">
        <v>1014</v>
      </c>
      <c r="O168" s="30" t="s">
        <v>1015</v>
      </c>
      <c r="P168" s="30" t="s">
        <v>1018</v>
      </c>
      <c r="Q168" s="30" t="s">
        <v>1018</v>
      </c>
      <c r="R168" s="30" t="s">
        <v>1017</v>
      </c>
      <c r="S168" s="30">
        <v>204.79</v>
      </c>
      <c r="T168" s="29">
        <v>10</v>
      </c>
      <c r="U168" s="29" t="s">
        <v>2235</v>
      </c>
      <c r="V168" s="33">
        <f t="shared" si="4"/>
        <v>0.048830509302212</v>
      </c>
      <c r="W168" s="74"/>
      <c r="X168" s="74"/>
      <c r="Y168" s="30" t="s">
        <v>1018</v>
      </c>
      <c r="Z168" s="30" t="s">
        <v>1264</v>
      </c>
      <c r="AA168" s="30" t="s">
        <v>2236</v>
      </c>
      <c r="AB168" s="30" t="s">
        <v>2237</v>
      </c>
      <c r="AC168" s="30" t="s">
        <v>2238</v>
      </c>
      <c r="AD168" s="30" t="s">
        <v>1018</v>
      </c>
      <c r="AE168" s="30"/>
      <c r="AF168" s="30"/>
      <c r="AG168" s="30"/>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9"/>
      <c r="DV168" s="9"/>
      <c r="DW168" s="9"/>
      <c r="DX168" s="9"/>
      <c r="DY168" s="9"/>
      <c r="DZ168" s="9"/>
      <c r="EA168" s="9"/>
      <c r="EB168" s="9"/>
      <c r="EC168" s="9"/>
      <c r="ED168" s="9"/>
      <c r="EE168" s="9"/>
      <c r="EF168" s="9"/>
      <c r="EG168" s="9"/>
      <c r="EH168" s="9"/>
      <c r="EI168" s="9"/>
      <c r="EJ168" s="9"/>
      <c r="EK168" s="9"/>
      <c r="EL168" s="9"/>
      <c r="EM168" s="9"/>
      <c r="EN168" s="9"/>
      <c r="EO168" s="9"/>
      <c r="EP168" s="9"/>
      <c r="EQ168" s="9"/>
      <c r="ER168" s="9"/>
      <c r="ES168" s="9"/>
      <c r="ET168" s="9"/>
      <c r="EU168" s="9"/>
      <c r="EV168" s="9"/>
      <c r="EW168" s="9"/>
      <c r="EX168" s="9"/>
      <c r="EY168" s="9"/>
      <c r="EZ168" s="9"/>
      <c r="FA168" s="9"/>
      <c r="FB168" s="9"/>
      <c r="FC168" s="9"/>
      <c r="FD168" s="9"/>
      <c r="FE168" s="9"/>
      <c r="FF168" s="9"/>
      <c r="FG168" s="9"/>
      <c r="FH168" s="9"/>
      <c r="FI168" s="9"/>
      <c r="FJ168" s="9"/>
      <c r="FK168" s="9"/>
      <c r="FL168" s="9"/>
      <c r="FM168" s="9"/>
      <c r="FN168" s="9"/>
      <c r="FO168" s="9"/>
      <c r="FP168" s="9"/>
      <c r="FQ168" s="9"/>
      <c r="FR168" s="9"/>
      <c r="FS168" s="9"/>
      <c r="FT168" s="9"/>
      <c r="FU168" s="9"/>
      <c r="FV168" s="9"/>
      <c r="FW168" s="9"/>
      <c r="FX168" s="9"/>
      <c r="FY168" s="9"/>
      <c r="FZ168" s="9"/>
      <c r="GA168" s="9"/>
      <c r="GB168" s="9"/>
      <c r="GC168" s="9"/>
      <c r="GD168" s="9"/>
      <c r="GE168" s="9"/>
      <c r="GF168" s="9"/>
      <c r="GG168" s="9"/>
      <c r="GH168" s="9"/>
      <c r="GI168" s="9"/>
      <c r="GJ168" s="9"/>
      <c r="GK168" s="9"/>
      <c r="GL168" s="9"/>
      <c r="GM168" s="9"/>
      <c r="GN168" s="9"/>
      <c r="GO168" s="9"/>
      <c r="GP168" s="9"/>
      <c r="GQ168" s="9"/>
      <c r="GR168" s="9"/>
      <c r="GS168" s="9"/>
      <c r="GT168" s="9"/>
      <c r="GU168" s="9"/>
      <c r="GV168" s="9"/>
      <c r="GW168" s="9"/>
      <c r="GX168" s="9"/>
      <c r="GY168" s="9"/>
      <c r="GZ168" s="9"/>
      <c r="HA168" s="9"/>
      <c r="HB168" s="9"/>
      <c r="HC168" s="9"/>
      <c r="HD168" s="9"/>
      <c r="HE168" s="9"/>
      <c r="HF168" s="9"/>
      <c r="HG168" s="9"/>
      <c r="HH168" s="9"/>
      <c r="HI168" s="9"/>
      <c r="HJ168" s="9"/>
      <c r="HK168" s="9"/>
      <c r="HL168" s="9"/>
      <c r="HM168" s="9"/>
      <c r="HN168" s="9"/>
      <c r="HO168" s="9"/>
      <c r="HP168" s="9"/>
      <c r="HQ168" s="9"/>
      <c r="HR168" s="9"/>
      <c r="HS168" s="9"/>
      <c r="HT168" s="9"/>
      <c r="HU168" s="9"/>
      <c r="HV168" s="9"/>
      <c r="HW168" s="9"/>
      <c r="HX168" s="9"/>
      <c r="HY168" s="9"/>
      <c r="HZ168" s="9"/>
      <c r="IA168" s="9"/>
      <c r="IB168" s="9"/>
      <c r="IC168" s="9"/>
      <c r="ID168" s="9"/>
      <c r="IE168" s="9"/>
      <c r="IF168" s="9"/>
      <c r="IG168" s="9"/>
      <c r="IH168" s="9"/>
      <c r="II168" s="9"/>
      <c r="KW168" s="9"/>
      <c r="KX168" s="9"/>
    </row>
    <row r="169" s="16" customFormat="1" customHeight="1" spans="1:310">
      <c r="A169" s="28">
        <v>45962</v>
      </c>
      <c r="B169" s="30" t="s">
        <v>1022</v>
      </c>
      <c r="C169" s="32" t="s">
        <v>1032</v>
      </c>
      <c r="D169" s="32" t="s">
        <v>134</v>
      </c>
      <c r="E169" s="32" t="s">
        <v>903</v>
      </c>
      <c r="F169" s="31" t="s">
        <v>917</v>
      </c>
      <c r="G169" s="31" t="s">
        <v>918</v>
      </c>
      <c r="H169" s="37">
        <v>11</v>
      </c>
      <c r="I169" s="32">
        <v>2020</v>
      </c>
      <c r="J169" s="30" t="s">
        <v>2239</v>
      </c>
      <c r="K169" s="32" t="s">
        <v>1012</v>
      </c>
      <c r="L169" s="32">
        <v>1</v>
      </c>
      <c r="M169" s="29" t="s">
        <v>1013</v>
      </c>
      <c r="N169" s="29" t="s">
        <v>1014</v>
      </c>
      <c r="O169" s="32" t="s">
        <v>2240</v>
      </c>
      <c r="P169" s="32" t="s">
        <v>1016</v>
      </c>
      <c r="Q169" s="32" t="s">
        <v>1018</v>
      </c>
      <c r="R169" s="32" t="s">
        <v>1017</v>
      </c>
      <c r="S169" s="49">
        <v>493.11</v>
      </c>
      <c r="T169" s="32">
        <f>64/3</f>
        <v>21.3333333333333</v>
      </c>
      <c r="U169" s="32">
        <v>2023.11</v>
      </c>
      <c r="V169" s="33">
        <f t="shared" si="4"/>
        <v>0.0432628284426058</v>
      </c>
      <c r="W169" s="39">
        <f>2238/64/110</f>
        <v>0.317897727272727</v>
      </c>
      <c r="X169" s="39" t="s">
        <v>2241</v>
      </c>
      <c r="Y169" s="32" t="s">
        <v>1018</v>
      </c>
      <c r="Z169" s="32" t="s">
        <v>2242</v>
      </c>
      <c r="AA169" s="32" t="s">
        <v>2243</v>
      </c>
      <c r="AB169" s="30" t="s">
        <v>2244</v>
      </c>
      <c r="AC169" s="32" t="s">
        <v>43</v>
      </c>
      <c r="AD169" s="32" t="s">
        <v>1018</v>
      </c>
      <c r="AE169" s="32"/>
      <c r="AF169" s="32"/>
      <c r="AG169" s="37"/>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c r="GS169" s="12"/>
      <c r="GT169" s="12"/>
      <c r="GU169" s="12"/>
      <c r="GV169" s="12"/>
      <c r="GW169" s="12"/>
      <c r="GX169" s="12"/>
      <c r="GY169" s="12"/>
      <c r="GZ169" s="12"/>
      <c r="HA169" s="12"/>
      <c r="HB169" s="12"/>
      <c r="HC169" s="12"/>
      <c r="HD169" s="12"/>
      <c r="HE169" s="12"/>
      <c r="HF169" s="12"/>
      <c r="HG169" s="12"/>
      <c r="HH169" s="12"/>
      <c r="HI169" s="12"/>
      <c r="HJ169" s="12"/>
      <c r="HK169" s="12"/>
      <c r="HL169" s="12"/>
      <c r="HM169" s="12"/>
      <c r="HN169" s="12"/>
      <c r="HO169" s="12"/>
      <c r="HP169" s="12"/>
      <c r="HQ169" s="12"/>
      <c r="HR169" s="12"/>
      <c r="HS169" s="12"/>
      <c r="HT169" s="12"/>
      <c r="HU169" s="12"/>
      <c r="HV169" s="12"/>
      <c r="HW169" s="12"/>
      <c r="HX169" s="12"/>
      <c r="HY169" s="12"/>
      <c r="HZ169" s="12"/>
      <c r="IA169" s="12"/>
      <c r="IB169" s="12"/>
      <c r="IC169" s="12"/>
      <c r="ID169" s="12"/>
      <c r="IE169" s="12"/>
      <c r="IF169" s="12"/>
      <c r="IG169" s="12"/>
      <c r="IH169" s="12"/>
      <c r="II169" s="9"/>
      <c r="IJ169" s="11"/>
      <c r="IK169" s="11"/>
      <c r="IL169" s="11"/>
      <c r="IM169" s="11"/>
      <c r="IN169" s="11"/>
      <c r="IO169" s="11"/>
      <c r="IP169" s="11"/>
      <c r="IQ169" s="11"/>
      <c r="IR169" s="11"/>
      <c r="IS169" s="11"/>
      <c r="IT169" s="11"/>
      <c r="IU169" s="11"/>
      <c r="IV169" s="11"/>
      <c r="IW169" s="11"/>
      <c r="IX169" s="11"/>
      <c r="IY169" s="11"/>
      <c r="IZ169" s="11"/>
      <c r="JA169" s="11"/>
      <c r="JB169" s="11"/>
      <c r="JC169" s="11"/>
      <c r="JD169" s="11"/>
      <c r="JE169" s="11"/>
      <c r="JF169" s="11"/>
      <c r="JG169" s="11"/>
      <c r="JH169" s="11"/>
      <c r="JI169" s="11"/>
      <c r="JJ169" s="11"/>
      <c r="JK169" s="11"/>
      <c r="JL169" s="11"/>
      <c r="JM169" s="11"/>
      <c r="JN169" s="11"/>
      <c r="JO169" s="11"/>
      <c r="JP169" s="11"/>
      <c r="JQ169" s="11"/>
      <c r="JR169" s="11"/>
      <c r="JS169" s="11"/>
      <c r="JT169" s="11"/>
      <c r="JU169" s="11"/>
      <c r="JV169" s="11"/>
      <c r="JW169" s="11"/>
      <c r="JX169" s="11"/>
      <c r="JY169" s="11"/>
      <c r="JZ169" s="11"/>
      <c r="KA169" s="11"/>
      <c r="KB169" s="11"/>
      <c r="KC169" s="11"/>
      <c r="KD169" s="11"/>
      <c r="KE169" s="11"/>
      <c r="KF169" s="11"/>
      <c r="KG169" s="11"/>
      <c r="KH169" s="11"/>
      <c r="KI169" s="11"/>
      <c r="KJ169" s="11"/>
      <c r="KK169" s="11"/>
      <c r="KL169" s="11"/>
      <c r="KM169" s="11"/>
      <c r="KN169" s="11"/>
      <c r="KO169" s="11"/>
      <c r="KP169" s="11"/>
      <c r="KQ169" s="11"/>
      <c r="KR169" s="11"/>
      <c r="KS169" s="11"/>
      <c r="KT169" s="11"/>
      <c r="KU169" s="11"/>
      <c r="KV169" s="11"/>
      <c r="KW169" s="9"/>
      <c r="KX169" s="9"/>
    </row>
    <row r="170" s="10" customFormat="1" customHeight="1" spans="1:310">
      <c r="A170" s="28">
        <v>45962</v>
      </c>
      <c r="B170" s="30" t="s">
        <v>1022</v>
      </c>
      <c r="C170" s="32" t="s">
        <v>1032</v>
      </c>
      <c r="D170" s="32" t="s">
        <v>134</v>
      </c>
      <c r="E170" s="32" t="s">
        <v>381</v>
      </c>
      <c r="F170" s="31" t="s">
        <v>495</v>
      </c>
      <c r="G170" s="31" t="s">
        <v>2245</v>
      </c>
      <c r="H170" s="32">
        <v>11</v>
      </c>
      <c r="I170" s="32">
        <v>2022</v>
      </c>
      <c r="J170" s="30" t="s">
        <v>2246</v>
      </c>
      <c r="K170" s="32" t="s">
        <v>1012</v>
      </c>
      <c r="L170" s="32">
        <v>1</v>
      </c>
      <c r="M170" s="29" t="s">
        <v>1013</v>
      </c>
      <c r="N170" s="29" t="s">
        <v>1014</v>
      </c>
      <c r="O170" s="32" t="s">
        <v>1301</v>
      </c>
      <c r="P170" s="32" t="s">
        <v>1018</v>
      </c>
      <c r="Q170" s="32" t="s">
        <v>1018</v>
      </c>
      <c r="R170" s="32" t="s">
        <v>2247</v>
      </c>
      <c r="S170" s="32">
        <v>238.34</v>
      </c>
      <c r="T170" s="32">
        <v>20</v>
      </c>
      <c r="U170" s="32" t="s">
        <v>2248</v>
      </c>
      <c r="V170" s="33">
        <f t="shared" si="4"/>
        <v>0.0839137366786943</v>
      </c>
      <c r="W170" s="39"/>
      <c r="X170" s="39"/>
      <c r="Y170" s="32" t="s">
        <v>2168</v>
      </c>
      <c r="Z170" s="32" t="s">
        <v>2249</v>
      </c>
      <c r="AA170" s="32" t="s">
        <v>2250</v>
      </c>
      <c r="AB170" s="32" t="s">
        <v>2251</v>
      </c>
      <c r="AC170" s="32" t="s">
        <v>37</v>
      </c>
      <c r="AD170" s="32" t="s">
        <v>2125</v>
      </c>
      <c r="AE170" s="32"/>
      <c r="AF170" s="32"/>
      <c r="AG170" s="32"/>
      <c r="IJ170" s="11"/>
      <c r="IK170" s="11"/>
      <c r="IL170" s="11"/>
      <c r="IM170" s="11"/>
      <c r="IN170" s="11"/>
      <c r="IO170" s="11"/>
      <c r="IP170" s="11"/>
      <c r="IQ170" s="11"/>
      <c r="IR170" s="11"/>
      <c r="IS170" s="11"/>
      <c r="IT170" s="11"/>
      <c r="IU170" s="11"/>
      <c r="IV170" s="11"/>
      <c r="IW170" s="11"/>
      <c r="IX170" s="11"/>
      <c r="IY170" s="11"/>
      <c r="IZ170" s="11"/>
      <c r="JA170" s="11"/>
      <c r="JB170" s="11"/>
      <c r="JC170" s="11"/>
      <c r="JD170" s="11"/>
      <c r="JE170" s="11"/>
      <c r="JF170" s="11"/>
      <c r="JG170" s="11"/>
      <c r="JH170" s="11"/>
      <c r="JI170" s="11"/>
      <c r="JJ170" s="11"/>
      <c r="JK170" s="11"/>
      <c r="JL170" s="11"/>
      <c r="JM170" s="11"/>
      <c r="JN170" s="11"/>
      <c r="JO170" s="11"/>
      <c r="JP170" s="11"/>
      <c r="JQ170" s="11"/>
      <c r="JR170" s="11"/>
      <c r="JS170" s="11"/>
      <c r="JT170" s="11"/>
      <c r="JU170" s="11"/>
      <c r="JV170" s="11"/>
      <c r="JW170" s="11"/>
      <c r="JX170" s="11"/>
      <c r="JY170" s="11"/>
      <c r="JZ170" s="11"/>
      <c r="KA170" s="11"/>
      <c r="KB170" s="11"/>
      <c r="KC170" s="11"/>
      <c r="KD170" s="11"/>
      <c r="KE170" s="11"/>
      <c r="KF170" s="11"/>
      <c r="KG170" s="11"/>
      <c r="KH170" s="11"/>
      <c r="KI170" s="11"/>
      <c r="KJ170" s="11"/>
      <c r="KK170" s="11"/>
      <c r="KL170" s="11"/>
      <c r="KM170" s="11"/>
      <c r="KN170" s="11"/>
      <c r="KO170" s="11"/>
      <c r="KP170" s="11"/>
      <c r="KQ170" s="11"/>
      <c r="KR170" s="11"/>
      <c r="KS170" s="11"/>
      <c r="KT170" s="11"/>
      <c r="KU170" s="11"/>
      <c r="KV170" s="11"/>
      <c r="KW170" s="9"/>
      <c r="KX170" s="9"/>
    </row>
    <row r="171" s="16" customFormat="1" customHeight="1" spans="1:310">
      <c r="A171" s="28">
        <v>45962</v>
      </c>
      <c r="B171" s="29" t="s">
        <v>1022</v>
      </c>
      <c r="C171" s="29" t="s">
        <v>1032</v>
      </c>
      <c r="D171" s="29" t="s">
        <v>134</v>
      </c>
      <c r="E171" s="30" t="s">
        <v>903</v>
      </c>
      <c r="F171" s="31" t="s">
        <v>2252</v>
      </c>
      <c r="G171" s="31" t="s">
        <v>2253</v>
      </c>
      <c r="H171" s="29">
        <v>11</v>
      </c>
      <c r="I171" s="30">
        <v>2022</v>
      </c>
      <c r="J171" s="45" t="s">
        <v>2239</v>
      </c>
      <c r="K171" s="45" t="s">
        <v>2254</v>
      </c>
      <c r="L171" s="29">
        <v>11</v>
      </c>
      <c r="M171" s="29" t="s">
        <v>1827</v>
      </c>
      <c r="N171" s="29" t="s">
        <v>1757</v>
      </c>
      <c r="O171" s="29" t="s">
        <v>2255</v>
      </c>
      <c r="P171" s="29" t="s">
        <v>1016</v>
      </c>
      <c r="Q171" s="29" t="s">
        <v>1018</v>
      </c>
      <c r="R171" s="29" t="s">
        <v>1017</v>
      </c>
      <c r="S171" s="30">
        <v>268.51</v>
      </c>
      <c r="T171" s="29">
        <v>7</v>
      </c>
      <c r="U171" s="29" t="s">
        <v>1533</v>
      </c>
      <c r="V171" s="64">
        <f t="shared" si="4"/>
        <v>0.0260697925589364</v>
      </c>
      <c r="W171" s="34"/>
      <c r="X171" s="34" t="s">
        <v>2256</v>
      </c>
      <c r="Y171" s="29" t="s">
        <v>1018</v>
      </c>
      <c r="Z171" s="29" t="s">
        <v>1651</v>
      </c>
      <c r="AA171" s="29" t="s">
        <v>2257</v>
      </c>
      <c r="AB171" s="29" t="s">
        <v>2258</v>
      </c>
      <c r="AC171" s="29" t="s">
        <v>37</v>
      </c>
      <c r="AD171" s="29" t="s">
        <v>1018</v>
      </c>
      <c r="AE171" s="29"/>
      <c r="AF171" s="29"/>
      <c r="AG171" s="2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c r="DN171" s="9"/>
      <c r="DO171" s="9"/>
      <c r="DP171" s="9"/>
      <c r="DQ171" s="9"/>
      <c r="DR171" s="9"/>
      <c r="DS171" s="9"/>
      <c r="DT171" s="9"/>
      <c r="DU171" s="9"/>
      <c r="DV171" s="9"/>
      <c r="DW171" s="9"/>
      <c r="DX171" s="9"/>
      <c r="DY171" s="9"/>
      <c r="DZ171" s="9"/>
      <c r="EA171" s="9"/>
      <c r="EB171" s="9"/>
      <c r="EC171" s="9"/>
      <c r="ED171" s="9"/>
      <c r="EE171" s="9"/>
      <c r="EF171" s="9"/>
      <c r="EG171" s="9"/>
      <c r="EH171" s="9"/>
      <c r="EI171" s="9"/>
      <c r="EJ171" s="9"/>
      <c r="EK171" s="9"/>
      <c r="EL171" s="9"/>
      <c r="EM171" s="9"/>
      <c r="EN171" s="9"/>
      <c r="EO171" s="9"/>
      <c r="EP171" s="9"/>
      <c r="EQ171" s="9"/>
      <c r="ER171" s="9"/>
      <c r="ES171" s="9"/>
      <c r="ET171" s="9"/>
      <c r="EU171" s="9"/>
      <c r="EV171" s="9"/>
      <c r="EW171" s="9"/>
      <c r="EX171" s="9"/>
      <c r="EY171" s="9"/>
      <c r="EZ171" s="9"/>
      <c r="FA171" s="9"/>
      <c r="FB171" s="9"/>
      <c r="FC171" s="9"/>
      <c r="FD171" s="9"/>
      <c r="FE171" s="9"/>
      <c r="FF171" s="9"/>
      <c r="FG171" s="9"/>
      <c r="FH171" s="9"/>
      <c r="FI171" s="9"/>
      <c r="FJ171" s="9"/>
      <c r="FK171" s="9"/>
      <c r="FL171" s="9"/>
      <c r="FM171" s="9"/>
      <c r="FN171" s="9"/>
      <c r="FO171" s="9"/>
      <c r="FP171" s="9"/>
      <c r="FQ171" s="9"/>
      <c r="FR171" s="9"/>
      <c r="FS171" s="9"/>
      <c r="FT171" s="9"/>
      <c r="FU171" s="9"/>
      <c r="FV171" s="9"/>
      <c r="FW171" s="9"/>
      <c r="FX171" s="9"/>
      <c r="FY171" s="9"/>
      <c r="FZ171" s="9"/>
      <c r="GA171" s="9"/>
      <c r="GB171" s="9"/>
      <c r="GC171" s="9"/>
      <c r="GD171" s="9"/>
      <c r="GE171" s="9"/>
      <c r="GF171" s="9"/>
      <c r="GG171" s="9"/>
      <c r="GH171" s="9"/>
      <c r="GI171" s="9"/>
      <c r="GJ171" s="9"/>
      <c r="GK171" s="9"/>
      <c r="GL171" s="9"/>
      <c r="GM171" s="9"/>
      <c r="GN171" s="9"/>
      <c r="GO171" s="9"/>
      <c r="GP171" s="9"/>
      <c r="GQ171" s="9"/>
      <c r="GR171" s="9"/>
      <c r="GS171" s="9"/>
      <c r="GT171" s="9"/>
      <c r="GU171" s="9"/>
      <c r="GV171" s="9"/>
      <c r="GW171" s="9"/>
      <c r="GX171" s="9"/>
      <c r="GY171" s="9"/>
      <c r="GZ171" s="9"/>
      <c r="HA171" s="9"/>
      <c r="HB171" s="9"/>
      <c r="HC171" s="9"/>
      <c r="HD171" s="9"/>
      <c r="HE171" s="9"/>
      <c r="HF171" s="9"/>
      <c r="HG171" s="9"/>
      <c r="HH171" s="9"/>
      <c r="HI171" s="9"/>
      <c r="HJ171" s="9"/>
      <c r="HK171" s="9"/>
      <c r="HL171" s="9"/>
      <c r="HM171" s="9"/>
      <c r="HN171" s="9"/>
      <c r="HO171" s="9"/>
      <c r="HP171" s="9"/>
      <c r="HQ171" s="9"/>
      <c r="HR171" s="9"/>
      <c r="HS171" s="9"/>
      <c r="HT171" s="9"/>
      <c r="HU171" s="9"/>
      <c r="HV171" s="9"/>
      <c r="HW171" s="9"/>
      <c r="HX171" s="9"/>
      <c r="HY171" s="9"/>
      <c r="HZ171" s="9"/>
      <c r="IA171" s="9"/>
      <c r="IB171" s="9"/>
      <c r="IC171" s="9"/>
      <c r="ID171" s="9"/>
      <c r="IE171" s="9"/>
      <c r="IF171" s="9"/>
      <c r="IG171" s="9"/>
      <c r="IH171" s="9"/>
      <c r="II171" s="12"/>
      <c r="IJ171" s="10"/>
      <c r="IK171" s="10"/>
      <c r="IL171" s="10"/>
      <c r="IM171" s="10"/>
      <c r="IN171" s="10"/>
      <c r="IO171" s="10"/>
      <c r="IP171" s="10"/>
      <c r="IQ171" s="10"/>
      <c r="IR171" s="10"/>
      <c r="IS171" s="10"/>
      <c r="IT171" s="10"/>
      <c r="IU171" s="10"/>
      <c r="IV171" s="10"/>
      <c r="IW171" s="10"/>
      <c r="IX171" s="10"/>
      <c r="IY171" s="10"/>
      <c r="IZ171" s="10"/>
      <c r="JA171" s="10"/>
      <c r="JB171" s="10"/>
      <c r="JC171" s="10"/>
      <c r="JD171" s="10"/>
      <c r="JE171" s="10"/>
      <c r="JF171" s="10"/>
      <c r="JG171" s="10"/>
      <c r="JH171" s="10"/>
      <c r="JI171" s="10"/>
      <c r="JJ171" s="10"/>
      <c r="JK171" s="10"/>
      <c r="JL171" s="10"/>
      <c r="JM171" s="10"/>
      <c r="JN171" s="10"/>
      <c r="JO171" s="10"/>
      <c r="JP171" s="10"/>
      <c r="JQ171" s="10"/>
      <c r="JR171" s="10"/>
      <c r="JS171" s="10"/>
      <c r="JT171" s="10"/>
      <c r="JU171" s="10"/>
      <c r="JV171" s="10"/>
      <c r="JW171" s="10"/>
      <c r="JX171" s="10"/>
      <c r="JY171" s="10"/>
      <c r="JZ171" s="10"/>
      <c r="KA171" s="10"/>
      <c r="KB171" s="10"/>
      <c r="KC171" s="10"/>
      <c r="KD171" s="10"/>
      <c r="KE171" s="10"/>
      <c r="KF171" s="10"/>
      <c r="KG171" s="10"/>
      <c r="KH171" s="10"/>
      <c r="KI171" s="10"/>
      <c r="KJ171" s="10"/>
      <c r="KK171" s="10"/>
      <c r="KL171" s="10"/>
      <c r="KM171" s="10"/>
      <c r="KN171" s="10"/>
      <c r="KO171" s="10"/>
      <c r="KP171" s="10"/>
      <c r="KQ171" s="10"/>
      <c r="KR171" s="10"/>
      <c r="KS171" s="10"/>
      <c r="KT171" s="10"/>
      <c r="KU171" s="10"/>
      <c r="KV171" s="10"/>
      <c r="KW171" s="9"/>
      <c r="KX171" s="9"/>
    </row>
    <row r="172" s="10" customFormat="1" customHeight="1" spans="1:310">
      <c r="A172" s="28">
        <v>45962</v>
      </c>
      <c r="B172" s="29" t="s">
        <v>1022</v>
      </c>
      <c r="C172" s="32" t="s">
        <v>1032</v>
      </c>
      <c r="D172" s="32" t="s">
        <v>1042</v>
      </c>
      <c r="E172" s="32" t="s">
        <v>381</v>
      </c>
      <c r="F172" s="31" t="s">
        <v>382</v>
      </c>
      <c r="G172" s="31" t="s">
        <v>2259</v>
      </c>
      <c r="H172" s="30">
        <v>11</v>
      </c>
      <c r="I172" s="32">
        <v>2020</v>
      </c>
      <c r="J172" s="45" t="s">
        <v>1180</v>
      </c>
      <c r="K172" s="45" t="s">
        <v>1012</v>
      </c>
      <c r="L172" s="32">
        <v>1</v>
      </c>
      <c r="M172" s="29" t="s">
        <v>1013</v>
      </c>
      <c r="N172" s="29" t="s">
        <v>1014</v>
      </c>
      <c r="O172" s="32" t="s">
        <v>2260</v>
      </c>
      <c r="P172" s="32"/>
      <c r="Q172" s="32" t="s">
        <v>1018</v>
      </c>
      <c r="R172" s="32" t="s">
        <v>1017</v>
      </c>
      <c r="S172" s="32">
        <v>1867</v>
      </c>
      <c r="T172" s="38">
        <v>215</v>
      </c>
      <c r="U172" s="32" t="s">
        <v>1045</v>
      </c>
      <c r="V172" s="33">
        <f t="shared" si="4"/>
        <v>0.115158007498661</v>
      </c>
      <c r="W172" s="39">
        <f>8471/215/6/100</f>
        <v>0.0656666666666667</v>
      </c>
      <c r="X172" s="39" t="s">
        <v>2261</v>
      </c>
      <c r="Y172" s="32" t="s">
        <v>1249</v>
      </c>
      <c r="Z172" s="32" t="s">
        <v>2262</v>
      </c>
      <c r="AA172" s="32" t="s">
        <v>36</v>
      </c>
      <c r="AB172" s="40">
        <v>0.8</v>
      </c>
      <c r="AC172" s="32" t="s">
        <v>37</v>
      </c>
      <c r="AD172" s="32" t="s">
        <v>1016</v>
      </c>
      <c r="AE172" s="32"/>
      <c r="AF172" s="32"/>
      <c r="AG172" s="3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c r="DN172" s="9"/>
      <c r="DO172" s="9"/>
      <c r="DP172" s="9"/>
      <c r="DQ172" s="9"/>
      <c r="DR172" s="9"/>
      <c r="DS172" s="9"/>
      <c r="DT172" s="9"/>
      <c r="DU172" s="9"/>
      <c r="DV172" s="9"/>
      <c r="DW172" s="9"/>
      <c r="DX172" s="9"/>
      <c r="DY172" s="9"/>
      <c r="DZ172" s="9"/>
      <c r="EA172" s="9"/>
      <c r="EB172" s="9"/>
      <c r="EC172" s="9"/>
      <c r="ED172" s="9"/>
      <c r="EE172" s="9"/>
      <c r="EF172" s="9"/>
      <c r="EG172" s="9"/>
      <c r="EH172" s="9"/>
      <c r="EI172" s="9"/>
      <c r="EJ172" s="9"/>
      <c r="EK172" s="9"/>
      <c r="EL172" s="9"/>
      <c r="EM172" s="9"/>
      <c r="EN172" s="9"/>
      <c r="EO172" s="9"/>
      <c r="EP172" s="9"/>
      <c r="EQ172" s="9"/>
      <c r="ER172" s="9"/>
      <c r="ES172" s="9"/>
      <c r="ET172" s="9"/>
      <c r="EU172" s="9"/>
      <c r="EV172" s="9"/>
      <c r="EW172" s="9"/>
      <c r="EX172" s="9"/>
      <c r="EY172" s="9"/>
      <c r="EZ172" s="9"/>
      <c r="FA172" s="9"/>
      <c r="FB172" s="9"/>
      <c r="FC172" s="9"/>
      <c r="FD172" s="9"/>
      <c r="FE172" s="9"/>
      <c r="FF172" s="9"/>
      <c r="FG172" s="9"/>
      <c r="FH172" s="9"/>
      <c r="FI172" s="9"/>
      <c r="FJ172" s="9"/>
      <c r="FK172" s="9"/>
      <c r="FL172" s="9"/>
      <c r="FM172" s="9"/>
      <c r="FN172" s="9"/>
      <c r="FO172" s="9"/>
      <c r="FP172" s="9"/>
      <c r="FQ172" s="9"/>
      <c r="FR172" s="9"/>
      <c r="FS172" s="9"/>
      <c r="FT172" s="9"/>
      <c r="FU172" s="9"/>
      <c r="FV172" s="9"/>
      <c r="FW172" s="9"/>
      <c r="FX172" s="9"/>
      <c r="FY172" s="9"/>
      <c r="FZ172" s="9"/>
      <c r="GA172" s="9"/>
      <c r="GB172" s="9"/>
      <c r="GC172" s="9"/>
      <c r="GD172" s="9"/>
      <c r="GE172" s="9"/>
      <c r="GF172" s="9"/>
      <c r="GG172" s="9"/>
      <c r="GH172" s="9"/>
      <c r="GI172" s="9"/>
      <c r="GJ172" s="9"/>
      <c r="GK172" s="9"/>
      <c r="GL172" s="9"/>
      <c r="GM172" s="9"/>
      <c r="GN172" s="9"/>
      <c r="GO172" s="9"/>
      <c r="GP172" s="9"/>
      <c r="GQ172" s="9"/>
      <c r="GR172" s="9"/>
      <c r="GS172" s="9"/>
      <c r="GT172" s="9"/>
      <c r="GU172" s="9"/>
      <c r="GV172" s="9"/>
      <c r="GW172" s="9"/>
      <c r="GX172" s="9"/>
      <c r="GY172" s="9"/>
      <c r="GZ172" s="9"/>
      <c r="HA172" s="9"/>
      <c r="HB172" s="9"/>
      <c r="HC172" s="9"/>
      <c r="HD172" s="9"/>
      <c r="HE172" s="9"/>
      <c r="HF172" s="9"/>
      <c r="HG172" s="9"/>
      <c r="HH172" s="9"/>
      <c r="HI172" s="9"/>
      <c r="HJ172" s="9"/>
      <c r="HK172" s="9"/>
      <c r="HL172" s="9"/>
      <c r="HM172" s="9"/>
      <c r="HN172" s="9"/>
      <c r="HO172" s="9"/>
      <c r="HP172" s="9"/>
      <c r="HQ172" s="9"/>
      <c r="HR172" s="9"/>
      <c r="HS172" s="9"/>
      <c r="HT172" s="9"/>
      <c r="HU172" s="9"/>
      <c r="HV172" s="9"/>
      <c r="HW172" s="9"/>
      <c r="HX172" s="9"/>
      <c r="HY172" s="9"/>
      <c r="HZ172" s="9"/>
      <c r="IA172" s="9"/>
      <c r="IB172" s="9"/>
      <c r="IC172" s="9"/>
      <c r="ID172" s="9"/>
      <c r="IE172" s="9"/>
      <c r="IF172" s="9"/>
      <c r="IG172" s="9"/>
      <c r="IH172" s="9"/>
      <c r="II172" s="12"/>
      <c r="IJ172" s="11"/>
      <c r="IK172" s="11"/>
      <c r="IL172" s="11"/>
      <c r="IM172" s="11"/>
      <c r="IN172" s="11"/>
      <c r="IO172" s="11"/>
      <c r="IP172" s="11"/>
      <c r="IQ172" s="11"/>
      <c r="IR172" s="11"/>
      <c r="IS172" s="11"/>
      <c r="IT172" s="11"/>
      <c r="IU172" s="11"/>
      <c r="IV172" s="11"/>
      <c r="IW172" s="11"/>
      <c r="IX172" s="11"/>
      <c r="IY172" s="11"/>
      <c r="IZ172" s="11"/>
      <c r="JA172" s="11"/>
      <c r="JB172" s="11"/>
      <c r="JC172" s="11"/>
      <c r="JD172" s="11"/>
      <c r="JE172" s="11"/>
      <c r="JF172" s="11"/>
      <c r="JG172" s="11"/>
      <c r="JH172" s="11"/>
      <c r="JI172" s="11"/>
      <c r="JJ172" s="11"/>
      <c r="JK172" s="11"/>
      <c r="JL172" s="11"/>
      <c r="JM172" s="11"/>
      <c r="JN172" s="11"/>
      <c r="JO172" s="11"/>
      <c r="JP172" s="11"/>
      <c r="JQ172" s="11"/>
      <c r="JR172" s="11"/>
      <c r="JS172" s="11"/>
      <c r="JT172" s="11"/>
      <c r="JU172" s="11"/>
      <c r="JV172" s="11"/>
      <c r="JW172" s="11"/>
      <c r="JX172" s="11"/>
      <c r="JY172" s="11"/>
      <c r="JZ172" s="11"/>
      <c r="KA172" s="11"/>
      <c r="KB172" s="11"/>
      <c r="KC172" s="11"/>
      <c r="KD172" s="11"/>
      <c r="KE172" s="11"/>
      <c r="KF172" s="11"/>
      <c r="KG172" s="11"/>
      <c r="KH172" s="11"/>
      <c r="KI172" s="11"/>
      <c r="KJ172" s="11"/>
      <c r="KK172" s="11"/>
      <c r="KL172" s="11"/>
      <c r="KM172" s="11"/>
      <c r="KN172" s="11"/>
      <c r="KO172" s="11"/>
      <c r="KP172" s="11"/>
      <c r="KQ172" s="11"/>
      <c r="KR172" s="11"/>
      <c r="KS172" s="11"/>
      <c r="KT172" s="11"/>
      <c r="KU172" s="11"/>
      <c r="KV172" s="11"/>
      <c r="KW172" s="11"/>
      <c r="KX172" s="11"/>
    </row>
    <row r="173" s="9" customFormat="1" customHeight="1" spans="1:310">
      <c r="A173" s="28">
        <v>45962</v>
      </c>
      <c r="B173" s="29" t="s">
        <v>1022</v>
      </c>
      <c r="C173" s="30" t="s">
        <v>1057</v>
      </c>
      <c r="D173" s="30" t="s">
        <v>134</v>
      </c>
      <c r="E173" s="30" t="s">
        <v>219</v>
      </c>
      <c r="F173" s="31" t="s">
        <v>2263</v>
      </c>
      <c r="G173" s="31" t="s">
        <v>2264</v>
      </c>
      <c r="H173" s="30">
        <v>11</v>
      </c>
      <c r="I173" s="30">
        <v>2021</v>
      </c>
      <c r="J173" s="30" t="s">
        <v>1936</v>
      </c>
      <c r="K173" s="30" t="s">
        <v>1012</v>
      </c>
      <c r="L173" s="30">
        <v>1</v>
      </c>
      <c r="M173" s="29" t="s">
        <v>1013</v>
      </c>
      <c r="N173" s="29" t="s">
        <v>1014</v>
      </c>
      <c r="O173" s="30" t="s">
        <v>2265</v>
      </c>
      <c r="P173" s="30" t="s">
        <v>1018</v>
      </c>
      <c r="Q173" s="30" t="s">
        <v>1016</v>
      </c>
      <c r="R173" s="30" t="s">
        <v>1039</v>
      </c>
      <c r="S173" s="51">
        <v>218.5</v>
      </c>
      <c r="T173" s="29">
        <v>128.7</v>
      </c>
      <c r="U173" s="29">
        <v>2025.12</v>
      </c>
      <c r="V173" s="33">
        <f t="shared" si="4"/>
        <v>0.589016018306636</v>
      </c>
      <c r="W173" s="34">
        <v>0.9487</v>
      </c>
      <c r="X173" s="34" t="s">
        <v>2266</v>
      </c>
      <c r="Y173" s="30" t="s">
        <v>1018</v>
      </c>
      <c r="Z173" s="30" t="s">
        <v>2267</v>
      </c>
      <c r="AA173" s="30" t="s">
        <v>2268</v>
      </c>
      <c r="AB173" s="30" t="s">
        <v>2269</v>
      </c>
      <c r="AC173" s="30" t="s">
        <v>2270</v>
      </c>
      <c r="AD173" s="30" t="s">
        <v>1018</v>
      </c>
      <c r="AE173" s="30" t="s">
        <v>1016</v>
      </c>
      <c r="AF173" s="30" t="s">
        <v>1018</v>
      </c>
      <c r="AG173" s="30"/>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08"/>
      <c r="BI173" s="108"/>
      <c r="BJ173" s="108"/>
      <c r="BK173" s="108"/>
      <c r="BL173" s="108"/>
      <c r="BM173" s="108"/>
      <c r="BN173" s="108"/>
      <c r="BO173" s="108"/>
      <c r="BP173" s="108"/>
      <c r="BQ173" s="108"/>
      <c r="BR173" s="108"/>
      <c r="BS173" s="108"/>
      <c r="BT173" s="108"/>
      <c r="BU173" s="108"/>
      <c r="BV173" s="108"/>
      <c r="BW173" s="108"/>
      <c r="BX173" s="108"/>
      <c r="BY173" s="108"/>
      <c r="BZ173" s="108"/>
      <c r="CA173" s="108"/>
      <c r="CB173" s="108"/>
      <c r="CC173" s="108"/>
      <c r="CD173" s="108"/>
      <c r="CE173" s="108"/>
      <c r="CF173" s="108"/>
      <c r="CG173" s="108"/>
      <c r="CH173" s="108"/>
      <c r="CI173" s="108"/>
      <c r="CJ173" s="108"/>
      <c r="CK173" s="108"/>
      <c r="CL173" s="108"/>
      <c r="CM173" s="108"/>
      <c r="CN173" s="108"/>
      <c r="CO173" s="108"/>
      <c r="CP173" s="108"/>
      <c r="CQ173" s="108"/>
      <c r="CR173" s="108"/>
      <c r="CS173" s="108"/>
      <c r="CT173" s="108"/>
      <c r="CU173" s="108"/>
      <c r="CV173" s="108"/>
      <c r="CW173" s="108"/>
      <c r="CX173" s="108"/>
      <c r="CY173" s="108"/>
      <c r="CZ173" s="108"/>
      <c r="DA173" s="108"/>
      <c r="DB173" s="108"/>
      <c r="DC173" s="108"/>
      <c r="DD173" s="108"/>
      <c r="DE173" s="108"/>
      <c r="DF173" s="108"/>
      <c r="DG173" s="108"/>
      <c r="DH173" s="108"/>
      <c r="DI173" s="108"/>
      <c r="DJ173" s="108"/>
      <c r="DK173" s="108"/>
      <c r="DL173" s="108"/>
      <c r="DM173" s="108"/>
      <c r="DN173" s="108"/>
      <c r="DO173" s="108"/>
      <c r="DP173" s="108"/>
      <c r="DQ173" s="108"/>
      <c r="DR173" s="108"/>
      <c r="DS173" s="108"/>
      <c r="DT173" s="108"/>
      <c r="DU173" s="108"/>
      <c r="DV173" s="108"/>
      <c r="DW173" s="108"/>
      <c r="DX173" s="108"/>
      <c r="DY173" s="108"/>
      <c r="DZ173" s="108"/>
      <c r="EA173" s="108"/>
      <c r="EB173" s="108"/>
      <c r="EC173" s="108"/>
      <c r="ED173" s="108"/>
      <c r="EE173" s="108"/>
      <c r="EF173" s="108"/>
      <c r="EG173" s="108"/>
      <c r="EH173" s="108"/>
      <c r="EI173" s="108"/>
      <c r="EJ173" s="108"/>
      <c r="EK173" s="108"/>
      <c r="EL173" s="108"/>
      <c r="EM173" s="108"/>
      <c r="EN173" s="108"/>
      <c r="EO173" s="108"/>
      <c r="EP173" s="108"/>
      <c r="EQ173" s="108"/>
      <c r="ER173" s="108"/>
      <c r="ES173" s="108"/>
      <c r="ET173" s="108"/>
      <c r="EU173" s="108"/>
      <c r="EV173" s="108"/>
      <c r="EW173" s="108"/>
      <c r="EX173" s="108"/>
      <c r="EY173" s="108"/>
      <c r="EZ173" s="108"/>
      <c r="FA173" s="108"/>
      <c r="FB173" s="108"/>
      <c r="FC173" s="108"/>
      <c r="FD173" s="108"/>
      <c r="FE173" s="108"/>
      <c r="FF173" s="108"/>
      <c r="FG173" s="108"/>
      <c r="FH173" s="108"/>
      <c r="FI173" s="108"/>
      <c r="FJ173" s="108"/>
      <c r="FK173" s="108"/>
      <c r="FL173" s="108"/>
      <c r="FM173" s="108"/>
      <c r="FN173" s="108"/>
      <c r="FO173" s="108"/>
      <c r="FP173" s="108"/>
      <c r="FQ173" s="108"/>
      <c r="FR173" s="108"/>
      <c r="FS173" s="108"/>
      <c r="FT173" s="108"/>
      <c r="FU173" s="108"/>
      <c r="FV173" s="108"/>
      <c r="FW173" s="108"/>
      <c r="FX173" s="108"/>
      <c r="FY173" s="108"/>
      <c r="FZ173" s="108"/>
      <c r="GA173" s="108"/>
      <c r="GB173" s="108"/>
      <c r="GC173" s="108"/>
      <c r="GD173" s="108"/>
      <c r="GE173" s="108"/>
      <c r="GF173" s="108"/>
      <c r="GG173" s="108"/>
      <c r="GH173" s="108"/>
      <c r="GI173" s="108"/>
      <c r="GJ173" s="108"/>
      <c r="GK173" s="108"/>
      <c r="GL173" s="108"/>
      <c r="GM173" s="108"/>
      <c r="GN173" s="108"/>
      <c r="GO173" s="108"/>
      <c r="GP173" s="108"/>
      <c r="GQ173" s="108"/>
      <c r="GR173" s="108"/>
      <c r="GS173" s="108"/>
      <c r="GT173" s="108"/>
      <c r="GU173" s="108"/>
      <c r="GV173" s="108"/>
      <c r="GW173" s="108"/>
      <c r="GX173" s="108"/>
      <c r="GY173" s="108"/>
      <c r="GZ173" s="108"/>
      <c r="HA173" s="108"/>
      <c r="HB173" s="108"/>
      <c r="HC173" s="108"/>
      <c r="HD173" s="108"/>
      <c r="HE173" s="108"/>
      <c r="HF173" s="108"/>
      <c r="HG173" s="108"/>
      <c r="HH173" s="108"/>
      <c r="HI173" s="108"/>
      <c r="HJ173" s="108"/>
      <c r="HK173" s="108"/>
      <c r="HL173" s="108"/>
      <c r="HM173" s="108"/>
      <c r="HN173" s="108"/>
      <c r="HO173" s="108"/>
      <c r="HP173" s="108"/>
      <c r="HQ173" s="108"/>
      <c r="HR173" s="108"/>
      <c r="HS173" s="108"/>
      <c r="HT173" s="108"/>
      <c r="HU173" s="108"/>
      <c r="HV173" s="108"/>
      <c r="HW173" s="108"/>
      <c r="HX173" s="108"/>
      <c r="HY173" s="108"/>
      <c r="HZ173" s="108"/>
      <c r="IA173" s="108"/>
      <c r="IB173" s="108"/>
      <c r="IC173" s="108"/>
      <c r="ID173" s="108"/>
      <c r="IE173" s="108"/>
      <c r="IF173" s="108"/>
      <c r="IG173" s="108"/>
      <c r="IH173" s="108"/>
      <c r="IJ173" s="11"/>
      <c r="IK173" s="11"/>
      <c r="IL173" s="11"/>
      <c r="IM173" s="11"/>
      <c r="IN173" s="11"/>
      <c r="IO173" s="11"/>
      <c r="IP173" s="11"/>
      <c r="IQ173" s="11"/>
      <c r="IR173" s="11"/>
      <c r="IS173" s="11"/>
      <c r="IT173" s="11"/>
      <c r="IU173" s="11"/>
      <c r="IV173" s="11"/>
      <c r="IW173" s="11"/>
      <c r="IX173" s="11"/>
      <c r="IY173" s="11"/>
      <c r="IZ173" s="11"/>
      <c r="JA173" s="11"/>
      <c r="JB173" s="11"/>
      <c r="JC173" s="11"/>
      <c r="JD173" s="11"/>
      <c r="JE173" s="11"/>
      <c r="JF173" s="11"/>
      <c r="JG173" s="11"/>
      <c r="JH173" s="11"/>
      <c r="JI173" s="11"/>
      <c r="JJ173" s="11"/>
      <c r="JK173" s="11"/>
      <c r="JL173" s="11"/>
      <c r="JM173" s="11"/>
      <c r="JN173" s="11"/>
      <c r="JO173" s="11"/>
      <c r="JP173" s="11"/>
      <c r="JQ173" s="11"/>
      <c r="JR173" s="11"/>
      <c r="JS173" s="11"/>
      <c r="JT173" s="11"/>
      <c r="JU173" s="11"/>
      <c r="JV173" s="11"/>
      <c r="JW173" s="11"/>
      <c r="JX173" s="11"/>
      <c r="JY173" s="11"/>
      <c r="JZ173" s="11"/>
      <c r="KA173" s="11"/>
      <c r="KB173" s="11"/>
      <c r="KC173" s="11"/>
      <c r="KD173" s="11"/>
      <c r="KE173" s="11"/>
      <c r="KF173" s="11"/>
      <c r="KG173" s="11"/>
      <c r="KH173" s="11"/>
      <c r="KI173" s="11"/>
      <c r="KJ173" s="11"/>
      <c r="KK173" s="11"/>
      <c r="KL173" s="11"/>
      <c r="KM173" s="11"/>
      <c r="KN173" s="11"/>
      <c r="KO173" s="11"/>
      <c r="KP173" s="11"/>
      <c r="KQ173" s="11"/>
      <c r="KR173" s="11"/>
      <c r="KS173" s="11"/>
      <c r="KT173" s="11"/>
      <c r="KU173" s="11"/>
      <c r="KV173" s="11"/>
      <c r="KW173" s="11"/>
      <c r="KX173" s="11"/>
    </row>
    <row r="174" s="10" customFormat="1" customHeight="1" spans="1:310">
      <c r="A174" s="28">
        <v>45962</v>
      </c>
      <c r="B174" s="29" t="s">
        <v>1022</v>
      </c>
      <c r="C174" s="32" t="s">
        <v>1032</v>
      </c>
      <c r="D174" s="32" t="s">
        <v>134</v>
      </c>
      <c r="E174" s="32" t="s">
        <v>381</v>
      </c>
      <c r="F174" s="31" t="s">
        <v>467</v>
      </c>
      <c r="G174" s="31" t="s">
        <v>2271</v>
      </c>
      <c r="H174" s="30">
        <v>11</v>
      </c>
      <c r="I174" s="32">
        <v>2020</v>
      </c>
      <c r="J174" s="36" t="s">
        <v>1716</v>
      </c>
      <c r="K174" s="36" t="s">
        <v>1198</v>
      </c>
      <c r="L174" s="32">
        <v>1</v>
      </c>
      <c r="M174" s="36" t="s">
        <v>1199</v>
      </c>
      <c r="N174" s="36" t="s">
        <v>1012</v>
      </c>
      <c r="O174" s="32">
        <v>150</v>
      </c>
      <c r="P174" s="32" t="s">
        <v>1018</v>
      </c>
      <c r="Q174" s="32"/>
      <c r="R174" s="32" t="s">
        <v>1039</v>
      </c>
      <c r="S174" s="32">
        <v>604.29</v>
      </c>
      <c r="T174" s="32">
        <f>332/5</f>
        <v>66.4</v>
      </c>
      <c r="U174" s="32">
        <v>2025.11</v>
      </c>
      <c r="V174" s="33">
        <f t="shared" si="4"/>
        <v>0.109881017392312</v>
      </c>
      <c r="W174" s="39">
        <f>2300/332/150</f>
        <v>0.0461847389558233</v>
      </c>
      <c r="X174" s="39" t="s">
        <v>2272</v>
      </c>
      <c r="Y174" s="32" t="s">
        <v>1018</v>
      </c>
      <c r="Z174" s="32" t="s">
        <v>2273</v>
      </c>
      <c r="AA174" s="32">
        <v>1.2</v>
      </c>
      <c r="AB174" s="40" t="s">
        <v>2274</v>
      </c>
      <c r="AC174" s="32" t="s">
        <v>37</v>
      </c>
      <c r="AD174" s="32" t="s">
        <v>1018</v>
      </c>
      <c r="AE174" s="30" t="s">
        <v>1016</v>
      </c>
      <c r="AF174" s="30" t="s">
        <v>1018</v>
      </c>
      <c r="AG174" s="32"/>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c r="ES174" s="16"/>
      <c r="ET174" s="16"/>
      <c r="EU174" s="16"/>
      <c r="EV174" s="16"/>
      <c r="EW174" s="16"/>
      <c r="EX174" s="16"/>
      <c r="EY174" s="16"/>
      <c r="EZ174" s="16"/>
      <c r="FA174" s="16"/>
      <c r="FB174" s="16"/>
      <c r="FC174" s="16"/>
      <c r="FD174" s="16"/>
      <c r="FE174" s="16"/>
      <c r="FF174" s="16"/>
      <c r="FG174" s="16"/>
      <c r="FH174" s="16"/>
      <c r="FI174" s="16"/>
      <c r="FJ174" s="16"/>
      <c r="FK174" s="16"/>
      <c r="FL174" s="16"/>
      <c r="FM174" s="16"/>
      <c r="FN174" s="16"/>
      <c r="FO174" s="16"/>
      <c r="FP174" s="16"/>
      <c r="FQ174" s="16"/>
      <c r="FR174" s="16"/>
      <c r="FS174" s="16"/>
      <c r="FT174" s="16"/>
      <c r="FU174" s="16"/>
      <c r="FV174" s="16"/>
      <c r="FW174" s="16"/>
      <c r="FX174" s="16"/>
      <c r="FY174" s="16"/>
      <c r="FZ174" s="16"/>
      <c r="GA174" s="16"/>
      <c r="GB174" s="16"/>
      <c r="GC174" s="16"/>
      <c r="GD174" s="16"/>
      <c r="GE174" s="16"/>
      <c r="GF174" s="16"/>
      <c r="GG174" s="16"/>
      <c r="GH174" s="16"/>
      <c r="GI174" s="16"/>
      <c r="GJ174" s="16"/>
      <c r="GK174" s="16"/>
      <c r="GL174" s="16"/>
      <c r="GM174" s="16"/>
      <c r="GN174" s="16"/>
      <c r="GO174" s="16"/>
      <c r="GP174" s="16"/>
      <c r="GQ174" s="16"/>
      <c r="GR174" s="16"/>
      <c r="GS174" s="16"/>
      <c r="GT174" s="16"/>
      <c r="GU174" s="16"/>
      <c r="GV174" s="16"/>
      <c r="GW174" s="16"/>
      <c r="GX174" s="16"/>
      <c r="GY174" s="16"/>
      <c r="GZ174" s="16"/>
      <c r="HA174" s="16"/>
      <c r="HB174" s="16"/>
      <c r="HC174" s="16"/>
      <c r="HD174" s="16"/>
      <c r="HE174" s="16"/>
      <c r="HF174" s="16"/>
      <c r="HG174" s="16"/>
      <c r="HH174" s="16"/>
      <c r="HI174" s="16"/>
      <c r="HJ174" s="16"/>
      <c r="HK174" s="16"/>
      <c r="HL174" s="16"/>
      <c r="HM174" s="16"/>
      <c r="HN174" s="16"/>
      <c r="HO174" s="16"/>
      <c r="HP174" s="16"/>
      <c r="HQ174" s="16"/>
      <c r="HR174" s="16"/>
      <c r="HS174" s="16"/>
      <c r="HT174" s="16"/>
      <c r="HU174" s="16"/>
      <c r="HV174" s="16"/>
      <c r="HW174" s="16"/>
      <c r="HX174" s="16"/>
      <c r="HY174" s="16"/>
      <c r="HZ174" s="16"/>
      <c r="IA174" s="16"/>
      <c r="IB174" s="16"/>
      <c r="IC174" s="16"/>
      <c r="ID174" s="16"/>
      <c r="IE174" s="16"/>
      <c r="IF174" s="16"/>
      <c r="IG174" s="16"/>
      <c r="IH174" s="16"/>
      <c r="II174" s="9"/>
      <c r="KW174" s="12"/>
      <c r="KX174" s="12"/>
    </row>
    <row r="175" s="9" customFormat="1" customHeight="1" spans="1:310">
      <c r="A175" s="28">
        <v>45962</v>
      </c>
      <c r="B175" s="29" t="s">
        <v>1022</v>
      </c>
      <c r="C175" s="29" t="s">
        <v>1032</v>
      </c>
      <c r="D175" s="29" t="s">
        <v>134</v>
      </c>
      <c r="E175" s="29" t="s">
        <v>381</v>
      </c>
      <c r="F175" s="31" t="s">
        <v>2275</v>
      </c>
      <c r="G175" s="31" t="s">
        <v>2276</v>
      </c>
      <c r="H175" s="29">
        <v>11</v>
      </c>
      <c r="I175" s="29">
        <v>2021</v>
      </c>
      <c r="J175" s="45" t="s">
        <v>1180</v>
      </c>
      <c r="K175" s="45" t="s">
        <v>1012</v>
      </c>
      <c r="L175" s="29">
        <v>1</v>
      </c>
      <c r="M175" s="29" t="s">
        <v>1013</v>
      </c>
      <c r="N175" s="29" t="s">
        <v>1014</v>
      </c>
      <c r="O175" s="29">
        <v>150</v>
      </c>
      <c r="P175" s="29" t="s">
        <v>1018</v>
      </c>
      <c r="Q175" s="29" t="s">
        <v>1018</v>
      </c>
      <c r="R175" s="29" t="s">
        <v>1039</v>
      </c>
      <c r="S175" s="29">
        <v>411.36</v>
      </c>
      <c r="T175" s="29">
        <v>144.7</v>
      </c>
      <c r="U175" s="29" t="s">
        <v>2277</v>
      </c>
      <c r="V175" s="64">
        <f t="shared" si="4"/>
        <v>0.351760015558149</v>
      </c>
      <c r="W175" s="34">
        <v>0.2485</v>
      </c>
      <c r="X175" s="34" t="s">
        <v>2278</v>
      </c>
      <c r="Y175" s="29" t="s">
        <v>1018</v>
      </c>
      <c r="Z175" s="29" t="s">
        <v>2279</v>
      </c>
      <c r="AA175" s="29" t="s">
        <v>2280</v>
      </c>
      <c r="AB175" s="29" t="s">
        <v>2281</v>
      </c>
      <c r="AC175" s="29" t="s">
        <v>65</v>
      </c>
      <c r="AD175" s="29" t="s">
        <v>1018</v>
      </c>
      <c r="AE175" s="30" t="s">
        <v>1016</v>
      </c>
      <c r="AF175" s="30" t="s">
        <v>1018</v>
      </c>
      <c r="AG175" s="41" t="s">
        <v>1081</v>
      </c>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c r="GS175" s="12"/>
      <c r="GT175" s="12"/>
      <c r="GU175" s="12"/>
      <c r="GV175" s="12"/>
      <c r="GW175" s="12"/>
      <c r="GX175" s="12"/>
      <c r="GY175" s="12"/>
      <c r="GZ175" s="12"/>
      <c r="HA175" s="12"/>
      <c r="HB175" s="12"/>
      <c r="HC175" s="12"/>
      <c r="HD175" s="12"/>
      <c r="HE175" s="12"/>
      <c r="HF175" s="12"/>
      <c r="HG175" s="12"/>
      <c r="HH175" s="12"/>
      <c r="HI175" s="12"/>
      <c r="HJ175" s="12"/>
      <c r="HK175" s="12"/>
      <c r="HL175" s="12"/>
      <c r="HM175" s="12"/>
      <c r="HN175" s="12"/>
      <c r="HO175" s="12"/>
      <c r="HP175" s="12"/>
      <c r="HQ175" s="12"/>
      <c r="HR175" s="12"/>
      <c r="HS175" s="12"/>
      <c r="HT175" s="12"/>
      <c r="HU175" s="12"/>
      <c r="HV175" s="12"/>
      <c r="HW175" s="12"/>
      <c r="HX175" s="12"/>
      <c r="HY175" s="12"/>
      <c r="HZ175" s="12"/>
      <c r="IA175" s="12"/>
      <c r="IB175" s="12"/>
      <c r="IC175" s="12"/>
      <c r="ID175" s="12"/>
      <c r="IE175" s="12"/>
      <c r="IF175" s="12"/>
      <c r="IG175" s="12"/>
      <c r="IH175" s="12"/>
      <c r="IJ175" s="11"/>
      <c r="IK175" s="11"/>
      <c r="IL175" s="11"/>
      <c r="IM175" s="11"/>
      <c r="IN175" s="11"/>
      <c r="IO175" s="11"/>
      <c r="IP175" s="11"/>
      <c r="IQ175" s="11"/>
      <c r="IR175" s="11"/>
      <c r="IS175" s="11"/>
      <c r="IT175" s="11"/>
      <c r="IU175" s="11"/>
      <c r="IV175" s="11"/>
      <c r="IW175" s="11"/>
      <c r="IX175" s="11"/>
      <c r="IY175" s="11"/>
      <c r="IZ175" s="11"/>
      <c r="JA175" s="11"/>
      <c r="JB175" s="11"/>
      <c r="JC175" s="11"/>
      <c r="JD175" s="11"/>
      <c r="JE175" s="11"/>
      <c r="JF175" s="11"/>
      <c r="JG175" s="11"/>
      <c r="JH175" s="11"/>
      <c r="JI175" s="11"/>
      <c r="JJ175" s="11"/>
      <c r="JK175" s="11"/>
      <c r="JL175" s="11"/>
      <c r="JM175" s="11"/>
      <c r="JN175" s="11"/>
      <c r="JO175" s="11"/>
      <c r="JP175" s="11"/>
      <c r="JQ175" s="11"/>
      <c r="JR175" s="11"/>
      <c r="JS175" s="11"/>
      <c r="JT175" s="11"/>
      <c r="JU175" s="11"/>
      <c r="JV175" s="11"/>
      <c r="JW175" s="11"/>
      <c r="JX175" s="11"/>
      <c r="JY175" s="11"/>
      <c r="JZ175" s="11"/>
      <c r="KA175" s="11"/>
      <c r="KB175" s="11"/>
      <c r="KC175" s="11"/>
      <c r="KD175" s="11"/>
      <c r="KE175" s="11"/>
      <c r="KF175" s="11"/>
      <c r="KG175" s="11"/>
      <c r="KH175" s="11"/>
      <c r="KI175" s="11"/>
      <c r="KJ175" s="11"/>
      <c r="KK175" s="11"/>
      <c r="KL175" s="11"/>
      <c r="KM175" s="11"/>
      <c r="KN175" s="11"/>
      <c r="KO175" s="11"/>
      <c r="KP175" s="11"/>
      <c r="KQ175" s="11"/>
      <c r="KR175" s="11"/>
      <c r="KS175" s="11"/>
      <c r="KT175" s="11"/>
      <c r="KU175" s="11"/>
      <c r="KV175" s="11"/>
      <c r="KW175" s="10"/>
      <c r="KX175" s="10"/>
    </row>
    <row r="176" s="9" customFormat="1" customHeight="1" spans="1:310">
      <c r="A176" s="28">
        <v>45962</v>
      </c>
      <c r="B176" s="29" t="s">
        <v>1022</v>
      </c>
      <c r="C176" s="32" t="s">
        <v>1007</v>
      </c>
      <c r="D176" s="32" t="s">
        <v>134</v>
      </c>
      <c r="E176" s="32" t="s">
        <v>678</v>
      </c>
      <c r="F176" s="31" t="s">
        <v>2282</v>
      </c>
      <c r="G176" s="31" t="s">
        <v>2283</v>
      </c>
      <c r="H176" s="32">
        <v>11</v>
      </c>
      <c r="I176" s="32">
        <v>2021</v>
      </c>
      <c r="J176" s="30" t="s">
        <v>1180</v>
      </c>
      <c r="K176" s="36" t="s">
        <v>2284</v>
      </c>
      <c r="L176" s="32">
        <v>1</v>
      </c>
      <c r="M176" s="29" t="s">
        <v>1013</v>
      </c>
      <c r="N176" s="29" t="s">
        <v>1014</v>
      </c>
      <c r="O176" s="32" t="s">
        <v>2285</v>
      </c>
      <c r="P176" s="32" t="s">
        <v>1018</v>
      </c>
      <c r="Q176" s="32"/>
      <c r="R176" s="32" t="s">
        <v>1039</v>
      </c>
      <c r="S176" s="38">
        <v>561.12</v>
      </c>
      <c r="T176" s="32">
        <v>53.43</v>
      </c>
      <c r="U176" s="32" t="s">
        <v>2286</v>
      </c>
      <c r="V176" s="33">
        <f t="shared" si="4"/>
        <v>0.0952202737382378</v>
      </c>
      <c r="W176" s="39">
        <v>1.0939</v>
      </c>
      <c r="X176" s="39" t="s">
        <v>2287</v>
      </c>
      <c r="Y176" s="32" t="s">
        <v>1016</v>
      </c>
      <c r="Z176" s="32" t="s">
        <v>1046</v>
      </c>
      <c r="AA176" s="32" t="s">
        <v>1046</v>
      </c>
      <c r="AB176" s="32" t="s">
        <v>1046</v>
      </c>
      <c r="AC176" s="32" t="s">
        <v>1046</v>
      </c>
      <c r="AD176" s="32" t="s">
        <v>1046</v>
      </c>
      <c r="AE176" s="32" t="s">
        <v>1046</v>
      </c>
      <c r="AF176" s="32" t="s">
        <v>1046</v>
      </c>
      <c r="AG176" s="32"/>
      <c r="AH176" s="16"/>
      <c r="AI176" s="16"/>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c r="CP176" s="11"/>
      <c r="CQ176" s="11"/>
      <c r="CR176" s="11"/>
      <c r="CS176" s="11"/>
      <c r="CT176" s="11"/>
      <c r="CU176" s="11"/>
      <c r="CV176" s="11"/>
      <c r="CW176" s="11"/>
      <c r="CX176" s="11"/>
      <c r="CY176" s="11"/>
      <c r="CZ176" s="11"/>
      <c r="DA176" s="11"/>
      <c r="DB176" s="11"/>
      <c r="DC176" s="11"/>
      <c r="DD176" s="11"/>
      <c r="DE176" s="11"/>
      <c r="DF176" s="11"/>
      <c r="DG176" s="11"/>
      <c r="DH176" s="11"/>
      <c r="DI176" s="11"/>
      <c r="DJ176" s="11"/>
      <c r="DK176" s="11"/>
      <c r="DL176" s="11"/>
      <c r="DM176" s="11"/>
      <c r="DN176" s="11"/>
      <c r="DO176" s="11"/>
      <c r="DP176" s="11"/>
      <c r="DQ176" s="11"/>
      <c r="DR176" s="11"/>
      <c r="DS176" s="11"/>
      <c r="DT176" s="11"/>
      <c r="DU176" s="11"/>
      <c r="DV176" s="11"/>
      <c r="DW176" s="11"/>
      <c r="DX176" s="11"/>
      <c r="DY176" s="11"/>
      <c r="DZ176" s="11"/>
      <c r="EA176" s="11"/>
      <c r="EB176" s="11"/>
      <c r="EC176" s="11"/>
      <c r="ED176" s="11"/>
      <c r="EE176" s="11"/>
      <c r="EF176" s="11"/>
      <c r="EG176" s="11"/>
      <c r="EH176" s="11"/>
      <c r="EI176" s="11"/>
      <c r="EJ176" s="11"/>
      <c r="EK176" s="11"/>
      <c r="EL176" s="11"/>
      <c r="EM176" s="11"/>
      <c r="EN176" s="11"/>
      <c r="EO176" s="11"/>
      <c r="EP176" s="11"/>
      <c r="EQ176" s="11"/>
      <c r="ER176" s="11"/>
      <c r="ES176" s="11"/>
      <c r="ET176" s="11"/>
      <c r="EU176" s="11"/>
      <c r="EV176" s="11"/>
      <c r="EW176" s="11"/>
      <c r="EX176" s="11"/>
      <c r="EY176" s="11"/>
      <c r="EZ176" s="11"/>
      <c r="FA176" s="11"/>
      <c r="FB176" s="11"/>
      <c r="FC176" s="11"/>
      <c r="FD176" s="11"/>
      <c r="FE176" s="11"/>
      <c r="FF176" s="11"/>
      <c r="FG176" s="11"/>
      <c r="FH176" s="11"/>
      <c r="FI176" s="11"/>
      <c r="FJ176" s="11"/>
      <c r="FK176" s="11"/>
      <c r="FL176" s="11"/>
      <c r="FM176" s="11"/>
      <c r="FN176" s="11"/>
      <c r="FO176" s="11"/>
      <c r="FP176" s="11"/>
      <c r="FQ176" s="11"/>
      <c r="FR176" s="11"/>
      <c r="FS176" s="11"/>
      <c r="FT176" s="11"/>
      <c r="FU176" s="11"/>
      <c r="FV176" s="11"/>
      <c r="FW176" s="11"/>
      <c r="FX176" s="11"/>
      <c r="FY176" s="11"/>
      <c r="FZ176" s="11"/>
      <c r="GA176" s="11"/>
      <c r="GB176" s="11"/>
      <c r="GC176" s="11"/>
      <c r="GD176" s="11"/>
      <c r="GE176" s="11"/>
      <c r="GF176" s="11"/>
      <c r="GG176" s="11"/>
      <c r="GH176" s="11"/>
      <c r="GI176" s="11"/>
      <c r="GJ176" s="11"/>
      <c r="GK176" s="11"/>
      <c r="GL176" s="11"/>
      <c r="GM176" s="11"/>
      <c r="GN176" s="11"/>
      <c r="GO176" s="11"/>
      <c r="GP176" s="11"/>
      <c r="GQ176" s="11"/>
      <c r="GR176" s="11"/>
      <c r="GS176" s="11"/>
      <c r="GT176" s="11"/>
      <c r="GU176" s="11"/>
      <c r="GV176" s="11"/>
      <c r="GW176" s="11"/>
      <c r="GX176" s="11"/>
      <c r="GY176" s="11"/>
      <c r="GZ176" s="11"/>
      <c r="HA176" s="11"/>
      <c r="HB176" s="11"/>
      <c r="HC176" s="11"/>
      <c r="HD176" s="11"/>
      <c r="HE176" s="11"/>
      <c r="HF176" s="11"/>
      <c r="HG176" s="11"/>
      <c r="HH176" s="11"/>
      <c r="HI176" s="11"/>
      <c r="HJ176" s="11"/>
      <c r="HK176" s="11"/>
      <c r="HL176" s="11"/>
      <c r="HM176" s="11"/>
      <c r="HN176" s="11"/>
      <c r="HO176" s="11"/>
      <c r="HP176" s="11"/>
      <c r="HQ176" s="11"/>
      <c r="HR176" s="11"/>
      <c r="HS176" s="11"/>
      <c r="HT176" s="11"/>
      <c r="HU176" s="11"/>
      <c r="HV176" s="11"/>
      <c r="HW176" s="11"/>
      <c r="HX176" s="11"/>
      <c r="HY176" s="11"/>
      <c r="HZ176" s="11"/>
      <c r="IA176" s="11"/>
      <c r="IB176" s="11"/>
      <c r="IC176" s="11"/>
      <c r="ID176" s="11"/>
      <c r="IE176" s="11"/>
      <c r="IF176" s="11"/>
      <c r="IG176" s="11"/>
      <c r="IH176" s="11"/>
      <c r="II176" s="11"/>
      <c r="IJ176" s="11"/>
      <c r="IL176" s="12"/>
      <c r="IM176" s="12"/>
      <c r="IN176" s="12"/>
      <c r="IO176" s="12"/>
      <c r="IP176" s="12"/>
      <c r="IQ176" s="12"/>
      <c r="IR176" s="12"/>
      <c r="IS176" s="12"/>
      <c r="IT176" s="12"/>
      <c r="IU176" s="12"/>
      <c r="IV176" s="12"/>
      <c r="IW176" s="12"/>
      <c r="IX176" s="12"/>
      <c r="IY176" s="12"/>
      <c r="IZ176" s="12"/>
      <c r="JA176" s="12"/>
      <c r="JB176" s="12"/>
      <c r="JC176" s="12"/>
      <c r="JD176" s="12"/>
      <c r="JE176" s="12"/>
      <c r="JF176" s="12"/>
      <c r="JG176" s="12"/>
      <c r="JH176" s="12"/>
      <c r="JI176" s="12"/>
      <c r="JJ176" s="12"/>
      <c r="JK176" s="12"/>
      <c r="JL176" s="12"/>
      <c r="JM176" s="12"/>
      <c r="JN176" s="12"/>
      <c r="JO176" s="12"/>
      <c r="JP176" s="12"/>
      <c r="JQ176" s="12"/>
      <c r="JR176" s="12"/>
      <c r="JS176" s="12"/>
      <c r="JT176" s="12"/>
      <c r="JU176" s="12"/>
      <c r="JV176" s="12"/>
      <c r="JW176" s="12"/>
      <c r="JX176" s="12"/>
      <c r="JY176" s="12"/>
      <c r="JZ176" s="12"/>
      <c r="KA176" s="12"/>
      <c r="KB176" s="12"/>
      <c r="KC176" s="12"/>
      <c r="KD176" s="12"/>
      <c r="KE176" s="12"/>
      <c r="KF176" s="12"/>
      <c r="KG176" s="12"/>
      <c r="KH176" s="12"/>
      <c r="KI176" s="12"/>
      <c r="KJ176" s="12"/>
      <c r="KK176" s="12"/>
      <c r="KL176" s="12"/>
      <c r="KM176" s="12"/>
      <c r="KN176" s="12"/>
      <c r="KO176" s="12"/>
      <c r="KP176" s="12"/>
      <c r="KQ176" s="12"/>
      <c r="KR176" s="12"/>
      <c r="KS176" s="12"/>
      <c r="KT176" s="12"/>
      <c r="KU176" s="12"/>
      <c r="KV176" s="12"/>
      <c r="KW176" s="12"/>
      <c r="KX176" s="12"/>
    </row>
    <row r="177" customHeight="1" spans="1:310">
      <c r="A177" s="28">
        <v>45962</v>
      </c>
      <c r="B177" s="32" t="s">
        <v>1022</v>
      </c>
      <c r="C177" s="32" t="s">
        <v>1007</v>
      </c>
      <c r="D177" s="32" t="s">
        <v>134</v>
      </c>
      <c r="E177" s="32" t="s">
        <v>678</v>
      </c>
      <c r="F177" s="31" t="s">
        <v>2288</v>
      </c>
      <c r="G177" s="31" t="s">
        <v>2289</v>
      </c>
      <c r="H177" s="32">
        <v>11</v>
      </c>
      <c r="I177" s="32">
        <v>2021</v>
      </c>
      <c r="J177" s="36" t="s">
        <v>2290</v>
      </c>
      <c r="K177" s="36" t="s">
        <v>2291</v>
      </c>
      <c r="L177" s="32">
        <v>3</v>
      </c>
      <c r="M177" s="29" t="s">
        <v>1013</v>
      </c>
      <c r="N177" s="29" t="s">
        <v>1014</v>
      </c>
      <c r="O177" s="32" t="s">
        <v>2292</v>
      </c>
      <c r="P177" s="32" t="s">
        <v>1018</v>
      </c>
      <c r="Q177" s="32" t="s">
        <v>1016</v>
      </c>
      <c r="R177" s="32" t="s">
        <v>1039</v>
      </c>
      <c r="S177" s="38">
        <v>879.59</v>
      </c>
      <c r="T177" s="32">
        <v>50</v>
      </c>
      <c r="U177" s="32">
        <v>2024.03</v>
      </c>
      <c r="V177" s="33">
        <f t="shared" si="4"/>
        <v>0.0568446662649644</v>
      </c>
      <c r="W177" s="39">
        <v>1.0946</v>
      </c>
      <c r="X177" s="39" t="s">
        <v>2293</v>
      </c>
      <c r="Y177" s="32" t="s">
        <v>1174</v>
      </c>
      <c r="Z177" s="32" t="s">
        <v>2294</v>
      </c>
      <c r="AA177" s="32" t="s">
        <v>378</v>
      </c>
      <c r="AB177" s="32" t="s">
        <v>2295</v>
      </c>
      <c r="AC177" s="32" t="s">
        <v>2131</v>
      </c>
      <c r="AD177" s="32" t="s">
        <v>1018</v>
      </c>
      <c r="AE177" s="32" t="s">
        <v>1392</v>
      </c>
      <c r="AF177" s="29" t="s">
        <v>1016</v>
      </c>
      <c r="AG177" s="30" t="s">
        <v>2296</v>
      </c>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c r="DY177" s="10"/>
      <c r="DZ177" s="10"/>
      <c r="EA177" s="10"/>
      <c r="EB177" s="10"/>
      <c r="EC177" s="10"/>
      <c r="ED177" s="10"/>
      <c r="EE177" s="10"/>
      <c r="EF177" s="10"/>
      <c r="EG177" s="10"/>
      <c r="EH177" s="10"/>
      <c r="EI177" s="10"/>
      <c r="EJ177" s="10"/>
      <c r="EK177" s="10"/>
      <c r="EL177" s="10"/>
      <c r="EM177" s="10"/>
      <c r="EN177" s="10"/>
      <c r="EO177" s="10"/>
      <c r="EP177" s="10"/>
      <c r="EQ177" s="10"/>
      <c r="ER177" s="10"/>
      <c r="ES177" s="10"/>
      <c r="ET177" s="10"/>
      <c r="EU177" s="10"/>
      <c r="EV177" s="10"/>
      <c r="EW177" s="10"/>
      <c r="EX177" s="10"/>
      <c r="EY177" s="10"/>
      <c r="EZ177" s="10"/>
      <c r="FA177" s="10"/>
      <c r="FB177" s="10"/>
      <c r="FC177" s="10"/>
      <c r="FD177" s="10"/>
      <c r="FE177" s="10"/>
      <c r="FF177" s="10"/>
      <c r="FG177" s="10"/>
      <c r="FH177" s="10"/>
      <c r="FI177" s="10"/>
      <c r="FJ177" s="10"/>
      <c r="FK177" s="10"/>
      <c r="FL177" s="10"/>
      <c r="FM177" s="10"/>
      <c r="FN177" s="10"/>
      <c r="FO177" s="10"/>
      <c r="FP177" s="10"/>
      <c r="FQ177" s="10"/>
      <c r="FR177" s="10"/>
      <c r="FS177" s="10"/>
      <c r="FT177" s="10"/>
      <c r="FU177" s="10"/>
      <c r="FV177" s="10"/>
      <c r="FW177" s="10"/>
      <c r="FX177" s="10"/>
      <c r="FY177" s="10"/>
      <c r="FZ177" s="10"/>
      <c r="GA177" s="10"/>
      <c r="GB177" s="10"/>
      <c r="GC177" s="10"/>
      <c r="GD177" s="10"/>
      <c r="GE177" s="10"/>
      <c r="GF177" s="10"/>
      <c r="GG177" s="10"/>
      <c r="GH177" s="10"/>
      <c r="GI177" s="10"/>
      <c r="GJ177" s="10"/>
      <c r="GK177" s="10"/>
      <c r="GL177" s="10"/>
      <c r="GM177" s="10"/>
      <c r="GN177" s="10"/>
      <c r="GO177" s="10"/>
      <c r="GP177" s="10"/>
      <c r="GQ177" s="10"/>
      <c r="GR177" s="10"/>
      <c r="GS177" s="10"/>
      <c r="GT177" s="10"/>
      <c r="GU177" s="10"/>
      <c r="GV177" s="10"/>
      <c r="GW177" s="10"/>
      <c r="GX177" s="10"/>
      <c r="GY177" s="10"/>
      <c r="GZ177" s="10"/>
      <c r="HA177" s="10"/>
      <c r="HB177" s="10"/>
      <c r="HC177" s="10"/>
      <c r="HD177" s="10"/>
      <c r="HE177" s="10"/>
      <c r="HF177" s="10"/>
      <c r="HG177" s="10"/>
      <c r="HH177" s="10"/>
      <c r="HI177" s="10"/>
      <c r="HJ177" s="10"/>
      <c r="HK177" s="10"/>
      <c r="HL177" s="10"/>
      <c r="HM177" s="10"/>
      <c r="HN177" s="10"/>
      <c r="HO177" s="10"/>
      <c r="HP177" s="10"/>
      <c r="HQ177" s="10"/>
      <c r="HR177" s="10"/>
      <c r="HS177" s="10"/>
      <c r="HT177" s="10"/>
      <c r="HU177" s="10"/>
      <c r="HV177" s="10"/>
      <c r="HW177" s="10"/>
      <c r="HX177" s="10"/>
      <c r="HY177" s="10"/>
      <c r="HZ177" s="10"/>
      <c r="IA177" s="10"/>
      <c r="IB177" s="10"/>
      <c r="IC177" s="10"/>
      <c r="ID177" s="10"/>
      <c r="IE177" s="10"/>
      <c r="IF177" s="10"/>
      <c r="IG177" s="10"/>
      <c r="IH177" s="10"/>
      <c r="II177" s="12"/>
      <c r="IJ177" s="11"/>
      <c r="IK177" s="11"/>
      <c r="IL177" s="11"/>
      <c r="IM177" s="11"/>
      <c r="IN177" s="11"/>
      <c r="IO177" s="11"/>
      <c r="IP177" s="11"/>
      <c r="IQ177" s="11"/>
      <c r="IR177" s="11"/>
      <c r="IS177" s="11"/>
      <c r="IT177" s="11"/>
      <c r="IU177" s="11"/>
      <c r="IV177" s="11"/>
      <c r="IW177" s="11"/>
      <c r="IX177" s="11"/>
      <c r="IY177" s="11"/>
      <c r="IZ177" s="11"/>
      <c r="JA177" s="11"/>
      <c r="JB177" s="11"/>
      <c r="JC177" s="11"/>
      <c r="JD177" s="11"/>
      <c r="JE177" s="11"/>
      <c r="JF177" s="11"/>
      <c r="JG177" s="11"/>
      <c r="JH177" s="11"/>
      <c r="JI177" s="11"/>
      <c r="JJ177" s="11"/>
      <c r="JK177" s="11"/>
      <c r="JL177" s="11"/>
      <c r="JM177" s="11"/>
      <c r="JN177" s="11"/>
      <c r="JO177" s="11"/>
      <c r="JP177" s="11"/>
      <c r="JQ177" s="11"/>
      <c r="JR177" s="11"/>
      <c r="JS177" s="11"/>
      <c r="JT177" s="11"/>
      <c r="JU177" s="11"/>
      <c r="JV177" s="11"/>
      <c r="JW177" s="11"/>
      <c r="JX177" s="11"/>
      <c r="JY177" s="11"/>
      <c r="JZ177" s="11"/>
      <c r="KA177" s="11"/>
      <c r="KB177" s="11"/>
      <c r="KC177" s="11"/>
      <c r="KD177" s="11"/>
      <c r="KE177" s="11"/>
      <c r="KF177" s="11"/>
      <c r="KG177" s="11"/>
      <c r="KH177" s="11"/>
      <c r="KI177" s="11"/>
      <c r="KJ177" s="11"/>
      <c r="KK177" s="11"/>
      <c r="KL177" s="11"/>
      <c r="KM177" s="11"/>
      <c r="KN177" s="11"/>
      <c r="KO177" s="11"/>
      <c r="KP177" s="11"/>
      <c r="KQ177" s="11"/>
      <c r="KR177" s="11"/>
      <c r="KS177" s="11"/>
      <c r="KT177" s="11"/>
      <c r="KU177" s="11"/>
      <c r="KV177" s="11"/>
      <c r="KW177" s="16"/>
      <c r="KX177" s="16"/>
    </row>
    <row r="178" s="12" customFormat="1" customHeight="1" spans="1:310">
      <c r="A178" s="28">
        <v>45962</v>
      </c>
      <c r="B178" s="32" t="s">
        <v>1022</v>
      </c>
      <c r="C178" s="49" t="s">
        <v>1032</v>
      </c>
      <c r="D178" s="49" t="s">
        <v>1042</v>
      </c>
      <c r="E178" s="32" t="s">
        <v>2297</v>
      </c>
      <c r="F178" s="31" t="s">
        <v>439</v>
      </c>
      <c r="G178" s="31" t="s">
        <v>2298</v>
      </c>
      <c r="H178" s="32">
        <v>11</v>
      </c>
      <c r="I178" s="32">
        <v>2019</v>
      </c>
      <c r="J178" s="36" t="s">
        <v>2299</v>
      </c>
      <c r="K178" s="36" t="s">
        <v>1036</v>
      </c>
      <c r="L178" s="49">
        <v>1</v>
      </c>
      <c r="M178" s="29" t="s">
        <v>1013</v>
      </c>
      <c r="N178" s="29" t="s">
        <v>1014</v>
      </c>
      <c r="O178" s="32">
        <v>185</v>
      </c>
      <c r="P178" s="32" t="s">
        <v>1018</v>
      </c>
      <c r="Q178" s="32" t="s">
        <v>1018</v>
      </c>
      <c r="R178" s="32" t="s">
        <v>1039</v>
      </c>
      <c r="S178" s="32">
        <v>949.89</v>
      </c>
      <c r="T178" s="32">
        <v>143.18</v>
      </c>
      <c r="U178" s="32">
        <v>2025.5</v>
      </c>
      <c r="V178" s="33">
        <f t="shared" si="4"/>
        <v>0.150733242796534</v>
      </c>
      <c r="W178" s="32">
        <v>1.29</v>
      </c>
      <c r="X178" s="32"/>
      <c r="Y178" s="49" t="s">
        <v>1018</v>
      </c>
      <c r="Z178" s="49" t="s">
        <v>2300</v>
      </c>
      <c r="AA178" s="44" t="s">
        <v>36</v>
      </c>
      <c r="AB178" s="109">
        <v>0.6</v>
      </c>
      <c r="AC178" s="44" t="s">
        <v>37</v>
      </c>
      <c r="AD178" s="49" t="s">
        <v>1018</v>
      </c>
      <c r="AE178" s="49"/>
      <c r="AF178" s="49"/>
      <c r="AG178" s="44" t="s">
        <v>1056</v>
      </c>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c r="DE178" s="11"/>
      <c r="DF178" s="11"/>
      <c r="DG178" s="11"/>
      <c r="DH178" s="11"/>
      <c r="DI178" s="11"/>
      <c r="DJ178" s="11"/>
      <c r="DK178" s="11"/>
      <c r="DL178" s="11"/>
      <c r="DM178" s="11"/>
      <c r="DN178" s="11"/>
      <c r="DO178" s="11"/>
      <c r="DP178" s="11"/>
      <c r="DQ178" s="11"/>
      <c r="DR178" s="11"/>
      <c r="DS178" s="11"/>
      <c r="DT178" s="11"/>
      <c r="DU178" s="11"/>
      <c r="DV178" s="11"/>
      <c r="DW178" s="11"/>
      <c r="DX178" s="11"/>
      <c r="DY178" s="11"/>
      <c r="DZ178" s="11"/>
      <c r="EA178" s="11"/>
      <c r="EB178" s="11"/>
      <c r="EC178" s="11"/>
      <c r="ED178" s="11"/>
      <c r="EE178" s="11"/>
      <c r="EF178" s="11"/>
      <c r="EG178" s="11"/>
      <c r="EH178" s="11"/>
      <c r="EI178" s="11"/>
      <c r="EJ178" s="11"/>
      <c r="EK178" s="11"/>
      <c r="EL178" s="11"/>
      <c r="EM178" s="11"/>
      <c r="EN178" s="11"/>
      <c r="EO178" s="11"/>
      <c r="EP178" s="11"/>
      <c r="EQ178" s="11"/>
      <c r="ER178" s="11"/>
      <c r="ES178" s="11"/>
      <c r="ET178" s="11"/>
      <c r="EU178" s="11"/>
      <c r="EV178" s="11"/>
      <c r="EW178" s="11"/>
      <c r="EX178" s="11"/>
      <c r="EY178" s="11"/>
      <c r="EZ178" s="11"/>
      <c r="FA178" s="11"/>
      <c r="FB178" s="11"/>
      <c r="FC178" s="11"/>
      <c r="FD178" s="11"/>
      <c r="FE178" s="11"/>
      <c r="FF178" s="11"/>
      <c r="FG178" s="11"/>
      <c r="FH178" s="11"/>
      <c r="FI178" s="11"/>
      <c r="FJ178" s="11"/>
      <c r="FK178" s="11"/>
      <c r="FL178" s="11"/>
      <c r="FM178" s="11"/>
      <c r="FN178" s="11"/>
      <c r="FO178" s="11"/>
      <c r="FP178" s="11"/>
      <c r="FQ178" s="11"/>
      <c r="FR178" s="11"/>
      <c r="FS178" s="11"/>
      <c r="FT178" s="11"/>
      <c r="FU178" s="11"/>
      <c r="FV178" s="11"/>
      <c r="FW178" s="11"/>
      <c r="FX178" s="11"/>
      <c r="FY178" s="11"/>
      <c r="FZ178" s="11"/>
      <c r="GA178" s="11"/>
      <c r="GB178" s="11"/>
      <c r="GC178" s="11"/>
      <c r="GD178" s="11"/>
      <c r="GE178" s="11"/>
      <c r="GF178" s="11"/>
      <c r="GG178" s="11"/>
      <c r="GH178" s="11"/>
      <c r="GI178" s="11"/>
      <c r="GJ178" s="11"/>
      <c r="GK178" s="11"/>
      <c r="GL178" s="11"/>
      <c r="GM178" s="11"/>
      <c r="GN178" s="11"/>
      <c r="GO178" s="11"/>
      <c r="GP178" s="11"/>
      <c r="GQ178" s="11"/>
      <c r="GR178" s="11"/>
      <c r="GS178" s="11"/>
      <c r="GT178" s="11"/>
      <c r="GU178" s="11"/>
      <c r="GV178" s="11"/>
      <c r="GW178" s="11"/>
      <c r="GX178" s="11"/>
      <c r="GY178" s="11"/>
      <c r="GZ178" s="11"/>
      <c r="HA178" s="11"/>
      <c r="HB178" s="11"/>
      <c r="HC178" s="11"/>
      <c r="HD178" s="11"/>
      <c r="HE178" s="11"/>
      <c r="HF178" s="11"/>
      <c r="HG178" s="11"/>
      <c r="HH178" s="11"/>
      <c r="HI178" s="11"/>
      <c r="HJ178" s="11"/>
      <c r="HK178" s="11"/>
      <c r="HL178" s="11"/>
      <c r="HM178" s="11"/>
      <c r="HN178" s="11"/>
      <c r="HO178" s="11"/>
      <c r="HP178" s="11"/>
      <c r="HQ178" s="11"/>
      <c r="HR178" s="11"/>
      <c r="HS178" s="11"/>
      <c r="HT178" s="11"/>
      <c r="HU178" s="11"/>
      <c r="HV178" s="11"/>
      <c r="HW178" s="11"/>
      <c r="HX178" s="11"/>
      <c r="HY178" s="11"/>
      <c r="HZ178" s="11"/>
      <c r="IA178" s="11"/>
      <c r="IB178" s="11"/>
      <c r="IC178" s="11"/>
      <c r="ID178" s="11"/>
      <c r="IE178" s="11"/>
      <c r="IF178" s="11"/>
      <c r="IG178" s="11"/>
      <c r="IH178" s="11"/>
      <c r="II178" s="11"/>
      <c r="IJ178" s="11"/>
      <c r="IK178" s="11"/>
      <c r="IL178" s="11"/>
      <c r="IM178" s="11"/>
      <c r="IN178" s="11"/>
      <c r="IO178" s="11"/>
      <c r="IP178" s="11"/>
      <c r="IQ178" s="11"/>
      <c r="IR178" s="11"/>
      <c r="IS178" s="11"/>
      <c r="IT178" s="11"/>
      <c r="IU178" s="11"/>
      <c r="IV178" s="11"/>
      <c r="IW178" s="11"/>
      <c r="IX178" s="11"/>
      <c r="IY178" s="11"/>
      <c r="IZ178" s="11"/>
      <c r="JA178" s="11"/>
      <c r="JB178" s="11"/>
      <c r="JC178" s="11"/>
      <c r="JD178" s="11"/>
      <c r="JE178" s="11"/>
      <c r="JF178" s="11"/>
      <c r="JG178" s="11"/>
      <c r="JH178" s="11"/>
      <c r="JI178" s="11"/>
      <c r="JJ178" s="11"/>
      <c r="JK178" s="11"/>
      <c r="JL178" s="11"/>
      <c r="JM178" s="11"/>
      <c r="JN178" s="11"/>
      <c r="JO178" s="11"/>
      <c r="JP178" s="11"/>
      <c r="JQ178" s="11"/>
      <c r="JR178" s="11"/>
      <c r="JS178" s="11"/>
      <c r="JT178" s="11"/>
      <c r="JU178" s="11"/>
      <c r="JV178" s="11"/>
      <c r="JW178" s="11"/>
      <c r="JX178" s="11"/>
      <c r="JY178" s="11"/>
      <c r="JZ178" s="11"/>
      <c r="KA178" s="11"/>
      <c r="KB178" s="11"/>
      <c r="KC178" s="11"/>
      <c r="KD178" s="11"/>
      <c r="KE178" s="11"/>
      <c r="KF178" s="11"/>
      <c r="KG178" s="11"/>
      <c r="KH178" s="11"/>
      <c r="KI178" s="11"/>
      <c r="KJ178" s="11"/>
      <c r="KK178" s="11"/>
      <c r="KL178" s="11"/>
      <c r="KM178" s="11"/>
      <c r="KN178" s="11"/>
      <c r="KO178" s="11"/>
      <c r="KP178" s="11"/>
      <c r="KQ178" s="11"/>
      <c r="KR178" s="11"/>
      <c r="KS178" s="11"/>
      <c r="KT178" s="11"/>
      <c r="KU178" s="11"/>
      <c r="KV178" s="11"/>
      <c r="KW178" s="10"/>
      <c r="KX178" s="10"/>
    </row>
  </sheetData>
  <mergeCells count="5">
    <mergeCell ref="A1:B1"/>
    <mergeCell ref="C1:F1"/>
    <mergeCell ref="G1:R1"/>
    <mergeCell ref="S1:X1"/>
    <mergeCell ref="Y1:AG1"/>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
  <sheetViews>
    <sheetView zoomScale="85" zoomScaleNormal="85" topLeftCell="A18" workbookViewId="0">
      <selection activeCell="A34" sqref="A34"/>
    </sheetView>
  </sheetViews>
  <sheetFormatPr defaultColWidth="9" defaultRowHeight="16.8" outlineLevelCol="5"/>
  <cols>
    <col min="2" max="2" width="29.5" customWidth="1"/>
  </cols>
  <sheetData>
    <row r="1" ht="11.5" customHeight="1" spans="1:4">
      <c r="A1" s="1" t="s">
        <v>0</v>
      </c>
      <c r="B1" s="1" t="s">
        <v>2301</v>
      </c>
      <c r="C1" s="1" t="s">
        <v>2302</v>
      </c>
      <c r="D1" s="1" t="s">
        <v>2303</v>
      </c>
    </row>
    <row r="2" ht="11.5" customHeight="1" spans="1:4">
      <c r="A2" s="2" t="s">
        <v>966</v>
      </c>
      <c r="B2" s="2" t="s">
        <v>2304</v>
      </c>
      <c r="C2" s="2" t="s">
        <v>2305</v>
      </c>
      <c r="D2" s="3" t="s">
        <v>2306</v>
      </c>
    </row>
    <row r="3" ht="11.5" customHeight="1" spans="1:4">
      <c r="A3" s="2"/>
      <c r="B3" s="2" t="s">
        <v>2307</v>
      </c>
      <c r="C3" s="2" t="s">
        <v>2308</v>
      </c>
      <c r="D3" s="3"/>
    </row>
    <row r="4" ht="11.5" customHeight="1" spans="1:4">
      <c r="A4" s="2" t="s">
        <v>114</v>
      </c>
      <c r="B4" s="2" t="s">
        <v>2309</v>
      </c>
      <c r="C4" s="2" t="s">
        <v>2310</v>
      </c>
      <c r="D4" s="3"/>
    </row>
    <row r="5" ht="11.5" customHeight="1" spans="1:4">
      <c r="A5" s="2"/>
      <c r="B5" s="2" t="s">
        <v>2311</v>
      </c>
      <c r="C5" s="2" t="s">
        <v>2312</v>
      </c>
      <c r="D5" s="3"/>
    </row>
    <row r="6" ht="11.5" customHeight="1" spans="1:4">
      <c r="A6" s="2" t="s">
        <v>307</v>
      </c>
      <c r="B6" s="2" t="s">
        <v>2313</v>
      </c>
      <c r="C6" s="2" t="s">
        <v>2314</v>
      </c>
      <c r="D6" s="3"/>
    </row>
    <row r="7" ht="11.5" customHeight="1" spans="1:4">
      <c r="A7" s="2" t="s">
        <v>833</v>
      </c>
      <c r="B7" s="2" t="s">
        <v>2315</v>
      </c>
      <c r="C7" s="2" t="s">
        <v>2316</v>
      </c>
      <c r="D7" s="3"/>
    </row>
    <row r="8" ht="11.5" customHeight="1" spans="1:4">
      <c r="A8" s="2" t="s">
        <v>219</v>
      </c>
      <c r="B8" s="2" t="s">
        <v>2317</v>
      </c>
      <c r="C8" s="2" t="s">
        <v>2318</v>
      </c>
      <c r="D8" s="3"/>
    </row>
    <row r="9" ht="11.5" customHeight="1" spans="1:4">
      <c r="A9" s="2"/>
      <c r="B9" s="2" t="s">
        <v>2319</v>
      </c>
      <c r="C9" s="2" t="s">
        <v>2320</v>
      </c>
      <c r="D9" s="3"/>
    </row>
    <row r="10" ht="11.5" customHeight="1" spans="1:4">
      <c r="A10" s="2" t="s">
        <v>1225</v>
      </c>
      <c r="B10" s="2" t="s">
        <v>2321</v>
      </c>
      <c r="C10" s="2" t="s">
        <v>2320</v>
      </c>
      <c r="D10" s="3"/>
    </row>
    <row r="11" ht="11.5" customHeight="1" spans="1:4">
      <c r="A11" s="2" t="s">
        <v>638</v>
      </c>
      <c r="B11" s="2" t="s">
        <v>2322</v>
      </c>
      <c r="C11" s="2" t="s">
        <v>2323</v>
      </c>
      <c r="D11" s="3" t="s">
        <v>2324</v>
      </c>
    </row>
    <row r="12" ht="11.5" customHeight="1" spans="1:4">
      <c r="A12" s="2" t="s">
        <v>381</v>
      </c>
      <c r="B12" s="2" t="s">
        <v>2325</v>
      </c>
      <c r="C12" s="2" t="s">
        <v>2326</v>
      </c>
      <c r="D12" s="3"/>
    </row>
    <row r="13" ht="11.5" customHeight="1" spans="1:4">
      <c r="A13" s="2"/>
      <c r="B13" s="2" t="s">
        <v>2327</v>
      </c>
      <c r="C13" s="2" t="s">
        <v>2328</v>
      </c>
      <c r="D13" s="3"/>
    </row>
    <row r="14" ht="11.5" customHeight="1" spans="1:4">
      <c r="A14" s="2" t="s">
        <v>903</v>
      </c>
      <c r="B14" s="2" t="s">
        <v>2329</v>
      </c>
      <c r="C14" s="2" t="s">
        <v>2330</v>
      </c>
      <c r="D14" s="3"/>
    </row>
    <row r="15" ht="11.5" customHeight="1" spans="1:4">
      <c r="A15" s="2" t="s">
        <v>877</v>
      </c>
      <c r="B15" s="2" t="s">
        <v>2331</v>
      </c>
      <c r="C15" s="2"/>
      <c r="D15" s="3"/>
    </row>
    <row r="16" ht="11.5" customHeight="1" spans="1:4">
      <c r="A16" s="2" t="s">
        <v>924</v>
      </c>
      <c r="B16" s="2" t="s">
        <v>2332</v>
      </c>
      <c r="C16" s="2" t="s">
        <v>2333</v>
      </c>
      <c r="D16" s="3"/>
    </row>
    <row r="17" ht="11.5" customHeight="1" spans="1:6">
      <c r="A17" s="2" t="s">
        <v>621</v>
      </c>
      <c r="B17" s="2" t="s">
        <v>2334</v>
      </c>
      <c r="C17" s="2"/>
      <c r="D17" s="3"/>
    </row>
    <row r="18" ht="11.5" customHeight="1" spans="1:6">
      <c r="A18" s="2" t="s">
        <v>552</v>
      </c>
      <c r="B18" s="2" t="s">
        <v>2335</v>
      </c>
      <c r="C18" s="2" t="s">
        <v>2336</v>
      </c>
      <c r="D18" s="3" t="s">
        <v>2337</v>
      </c>
    </row>
    <row r="19" ht="11.5" customHeight="1" spans="1:6">
      <c r="A19" s="2" t="s">
        <v>1008</v>
      </c>
      <c r="B19" s="2" t="s">
        <v>2338</v>
      </c>
      <c r="C19" s="2"/>
      <c r="D19" s="3"/>
    </row>
    <row r="20" ht="11.5" customHeight="1" spans="1:6">
      <c r="A20" s="2" t="s">
        <v>736</v>
      </c>
      <c r="B20" s="2" t="s">
        <v>2339</v>
      </c>
      <c r="C20" s="2" t="s">
        <v>2340</v>
      </c>
      <c r="D20" s="3"/>
    </row>
    <row r="21" ht="11.5" customHeight="1" spans="1:6">
      <c r="A21" s="2" t="s">
        <v>1598</v>
      </c>
      <c r="B21" s="2" t="s">
        <v>2341</v>
      </c>
      <c r="C21" s="2"/>
      <c r="D21" s="3"/>
    </row>
    <row r="22" ht="11.5" customHeight="1" spans="1:6">
      <c r="A22" s="2" t="s">
        <v>1733</v>
      </c>
      <c r="B22" s="2" t="s">
        <v>2342</v>
      </c>
      <c r="C22" s="2" t="s">
        <v>2343</v>
      </c>
      <c r="D22" s="3"/>
    </row>
    <row r="23" ht="11.5" customHeight="1" spans="1:6">
      <c r="A23" s="2" t="s">
        <v>1048</v>
      </c>
      <c r="B23" s="2" t="s">
        <v>2344</v>
      </c>
      <c r="C23" s="2"/>
      <c r="D23" s="3"/>
    </row>
    <row r="24" ht="11.5" customHeight="1" spans="1:6">
      <c r="A24" s="2" t="s">
        <v>2345</v>
      </c>
      <c r="B24" s="2" t="s">
        <v>2346</v>
      </c>
      <c r="C24" s="2" t="s">
        <v>2347</v>
      </c>
      <c r="D24" s="3"/>
    </row>
    <row r="25" ht="11.5" customHeight="1" spans="1:6">
      <c r="A25" s="2" t="s">
        <v>561</v>
      </c>
      <c r="B25" s="2" t="s">
        <v>2348</v>
      </c>
      <c r="C25" s="2"/>
      <c r="D25" s="3"/>
    </row>
    <row r="26" ht="11.5" customHeight="1" spans="1:6">
      <c r="A26" s="2" t="s">
        <v>749</v>
      </c>
      <c r="B26" s="2" t="s">
        <v>2349</v>
      </c>
      <c r="C26" s="2" t="s">
        <v>2350</v>
      </c>
      <c r="D26" s="3"/>
    </row>
    <row r="27" ht="11.5" customHeight="1" spans="1:6">
      <c r="A27" s="2" t="s">
        <v>869</v>
      </c>
      <c r="B27" s="2" t="s">
        <v>2351</v>
      </c>
      <c r="C27" s="2" t="s">
        <v>2352</v>
      </c>
      <c r="D27" s="3"/>
    </row>
    <row r="28" ht="11.5" customHeight="1" spans="1:6">
      <c r="A28" s="2" t="s">
        <v>56</v>
      </c>
      <c r="B28" s="2" t="s">
        <v>2353</v>
      </c>
      <c r="C28" s="2" t="s">
        <v>2354</v>
      </c>
      <c r="D28" s="4" t="s">
        <v>2355</v>
      </c>
    </row>
    <row r="29" ht="11.5" customHeight="1" spans="1:6">
      <c r="A29" s="2" t="s">
        <v>80</v>
      </c>
      <c r="B29" s="2" t="s">
        <v>2335</v>
      </c>
      <c r="C29" s="2" t="s">
        <v>2356</v>
      </c>
      <c r="D29" s="4"/>
    </row>
    <row r="30" ht="11.5" customHeight="1" spans="1:6">
      <c r="A30" s="2" t="s">
        <v>811</v>
      </c>
      <c r="B30" s="2" t="s">
        <v>2357</v>
      </c>
      <c r="C30" s="2" t="s">
        <v>2358</v>
      </c>
      <c r="D30" s="4"/>
    </row>
    <row r="31" ht="11.5" customHeight="1" spans="1:6">
      <c r="A31" s="2" t="s">
        <v>100</v>
      </c>
      <c r="B31" s="2" t="s">
        <v>2359</v>
      </c>
      <c r="C31" s="2" t="s">
        <v>2360</v>
      </c>
      <c r="D31" s="4"/>
      <c r="F31" s="5"/>
    </row>
    <row r="32" ht="11.5" customHeight="1" spans="1:6">
      <c r="A32" s="2" t="s">
        <v>1216</v>
      </c>
      <c r="B32" s="2" t="s">
        <v>2361</v>
      </c>
      <c r="C32" s="2"/>
      <c r="D32" s="4"/>
      <c r="F32" s="6"/>
    </row>
    <row r="33" ht="11.5" customHeight="1" spans="1:6">
      <c r="A33" s="2" t="s">
        <v>936</v>
      </c>
      <c r="B33" s="2" t="s">
        <v>2362</v>
      </c>
      <c r="C33" s="2" t="s">
        <v>2363</v>
      </c>
      <c r="D33" s="4"/>
      <c r="F33" s="6"/>
    </row>
    <row r="34" ht="11.5" customHeight="1" spans="1:6">
      <c r="A34" s="2" t="s">
        <v>678</v>
      </c>
      <c r="B34" s="2" t="s">
        <v>2364</v>
      </c>
      <c r="C34" s="2" t="s">
        <v>2365</v>
      </c>
      <c r="D34" s="4"/>
      <c r="F34" s="6"/>
    </row>
    <row r="35" ht="11.5" customHeight="1" spans="1:6">
      <c r="A35" s="2" t="s">
        <v>822</v>
      </c>
      <c r="B35" s="2" t="s">
        <v>2366</v>
      </c>
      <c r="C35" s="7" t="s">
        <v>2367</v>
      </c>
      <c r="D35" s="4"/>
      <c r="F35" s="6"/>
    </row>
    <row r="36" ht="11.5" customHeight="1" spans="1:6">
      <c r="A36" s="2" t="s">
        <v>1445</v>
      </c>
      <c r="B36" s="2" t="s">
        <v>2368</v>
      </c>
      <c r="C36" s="7"/>
      <c r="D36" s="4"/>
      <c r="F36" s="6"/>
    </row>
    <row r="37" spans="1:6">
      <c r="F37" s="6"/>
    </row>
    <row r="38" spans="1:6">
      <c r="F38" s="6"/>
    </row>
    <row r="39" spans="1:6">
      <c r="F39" s="6"/>
    </row>
    <row r="40" spans="1:6">
      <c r="F40" s="6"/>
    </row>
  </sheetData>
  <mergeCells count="17">
    <mergeCell ref="A2:A3"/>
    <mergeCell ref="A4:A5"/>
    <mergeCell ref="A8:A9"/>
    <mergeCell ref="A12:A13"/>
    <mergeCell ref="C14:C15"/>
    <mergeCell ref="C16:C17"/>
    <mergeCell ref="C18:C19"/>
    <mergeCell ref="C20:C21"/>
    <mergeCell ref="C22:C23"/>
    <mergeCell ref="C24:C25"/>
    <mergeCell ref="C31:C32"/>
    <mergeCell ref="C35:C36"/>
    <mergeCell ref="D2:D10"/>
    <mergeCell ref="D11:D17"/>
    <mergeCell ref="D18:D27"/>
    <mergeCell ref="D28:D36"/>
    <mergeCell ref="F31:F40"/>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���e�^�ech0�ech�Q�[{|�Wh��
</file>

<file path=customXml/item4.xml>��
</file>

<file path=customXml/item5.xml>��
</file>

<file path=customXml/item6.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1A11DB6B-810E-4109-81FB-5D70B41834A9}">
  <ds:schemaRefs/>
</ds:datastoreItem>
</file>

<file path=customXml/itemProps4.xml><?xml version="1.0" encoding="utf-8"?>
<ds:datastoreItem xmlns:ds="http://schemas.openxmlformats.org/officeDocument/2006/customXml" ds:itemID="{5A38AB84-0EFB-4023-81AA-AA930C6B5EEC}">
  <ds:schemaRefs/>
</ds:datastoreItem>
</file>

<file path=customXml/itemProps5.xml><?xml version="1.0" encoding="utf-8"?>
<ds:datastoreItem xmlns:ds="http://schemas.openxmlformats.org/officeDocument/2006/customXml" ds:itemID="{AB747B93-256C-498E-9CD0-3812BE2C00B5}">
  <ds:schemaRefs/>
</ds:datastoreItem>
</file>

<file path=customXml/itemProps6.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城市惠民险20210205</vt:lpstr>
      <vt:lpstr>CSMI BASIC DATA-2026AP1</vt:lpstr>
      <vt:lpstr>LMA覆盖（2025.9）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 Wang</dc:creator>
  <cp:lastModifiedBy>Vicky</cp:lastModifiedBy>
  <dcterms:created xsi:type="dcterms:W3CDTF">2021-02-06T22:16:00Z</dcterms:created>
  <cp:lastPrinted>2025-03-26T17:21:00Z</cp:lastPrinted>
  <dcterms:modified xsi:type="dcterms:W3CDTF">2026-01-16T16:16:42Z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MSIP_Label_68f72598-90ab-4748-9618-88402b5e95d2_Enabled">
    <vt:lpwstr>true</vt:lpwstr>
  </property>
  <property fmtid="{D5CDD505-2E9C-101B-9397-08002B2CF9AE}" pid="4" name="MSIP_Label_68f72598-90ab-4748-9618-88402b5e95d2_SetDate">
    <vt:lpwstr>2023-02-21T15:50:25Z</vt:lpwstr>
  </property>
  <property fmtid="{D5CDD505-2E9C-101B-9397-08002B2CF9AE}" pid="5" name="MSIP_Label_68f72598-90ab-4748-9618-88402b5e95d2_Method">
    <vt:lpwstr>Privileged</vt:lpwstr>
  </property>
  <property fmtid="{D5CDD505-2E9C-101B-9397-08002B2CF9AE}" pid="6" name="MSIP_Label_68f72598-90ab-4748-9618-88402b5e95d2_Name">
    <vt:lpwstr>68f72598-90ab-4748-9618-88402b5e95d2</vt:lpwstr>
  </property>
  <property fmtid="{D5CDD505-2E9C-101B-9397-08002B2CF9AE}" pid="7" name="MSIP_Label_68f72598-90ab-4748-9618-88402b5e95d2_SiteId">
    <vt:lpwstr>7a916015-20ae-4ad1-9170-eefd915e9272</vt:lpwstr>
  </property>
  <property fmtid="{D5CDD505-2E9C-101B-9397-08002B2CF9AE}" pid="8" name="MSIP_Label_68f72598-90ab-4748-9618-88402b5e95d2_ActionId">
    <vt:lpwstr>ccbbfd0f-ca19-4bad-9043-e3dc209b0406</vt:lpwstr>
  </property>
  <property fmtid="{D5CDD505-2E9C-101B-9397-08002B2CF9AE}" pid="9" name="MSIP_Label_68f72598-90ab-4748-9618-88402b5e95d2_ContentBits">
    <vt:lpwstr>0</vt:lpwstr>
  </property>
  <property fmtid="{D5CDD505-2E9C-101B-9397-08002B2CF9AE}" pid="10" name="ContentTypeId">
    <vt:lpwstr>0x010100EAAC1AC46D2DB049908B7764B36A739D</vt:lpwstr>
  </property>
  <property fmtid="{D5CDD505-2E9C-101B-9397-08002B2CF9AE}" pid="11" name="ICV">
    <vt:lpwstr>705FD2D6B13EDEA1EAF3696907060A59_43</vt:lpwstr>
  </property>
  <property fmtid="{D5CDD505-2E9C-101B-9397-08002B2CF9AE}" pid="12" name="CalculationRule">
    <vt:i4>0</vt:i4>
  </property>
</Properties>
</file>